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wanis/Projects/NWT/"/>
    </mc:Choice>
  </mc:AlternateContent>
  <xr:revisionPtr revIDLastSave="0" documentId="8_{93A4974E-2CF8-5344-AEF1-E3C897180263}" xr6:coauthVersionLast="47" xr6:coauthVersionMax="47" xr10:uidLastSave="{00000000-0000-0000-0000-000000000000}"/>
  <bookViews>
    <workbookView xWindow="2500" yWindow="2020" windowWidth="53920" windowHeight="35640" activeTab="13" xr2:uid="{71B2FA27-98FE-BC49-A167-2B8FA6D1C646}"/>
  </bookViews>
  <sheets>
    <sheet name="Monthly Expenses Budget" sheetId="3" r:id="rId1"/>
    <sheet name="Property Expenses" sheetId="23" r:id="rId2"/>
    <sheet name="FV_April25" sheetId="1" r:id="rId3"/>
    <sheet name="FV_May25" sheetId="13" r:id="rId4"/>
    <sheet name="FV_June25" sheetId="17" r:id="rId5"/>
    <sheet name="FV_July25 " sheetId="20" r:id="rId6"/>
    <sheet name="FV_August25" sheetId="30" r:id="rId7"/>
    <sheet name="FV_September25" sheetId="32" r:id="rId8"/>
    <sheet name="FV_October25" sheetId="34" r:id="rId9"/>
    <sheet name="FV_Nov25" sheetId="35" r:id="rId10"/>
    <sheet name="FV_Dec25" sheetId="36" r:id="rId11"/>
    <sheet name="FV_Jan26" sheetId="37" r:id="rId12"/>
    <sheet name="FV_Feb26" sheetId="38" r:id="rId13"/>
    <sheet name="FV_Mar26" sheetId="39" r:id="rId14"/>
    <sheet name="FV_PLANNING" sheetId="31" r:id="rId15"/>
    <sheet name="FV_PLANNING2" sheetId="33" r:id="rId16"/>
    <sheet name="FV_July25TEST" sheetId="29" r:id="rId17"/>
    <sheet name="FV_Play" sheetId="19" r:id="rId18"/>
    <sheet name="Copy1" sheetId="18" r:id="rId19"/>
    <sheet name="HouseView" sheetId="15" r:id="rId20"/>
    <sheet name="Newhouse" sheetId="12" r:id="rId21"/>
    <sheet name="PayAsh" sheetId="9" r:id="rId22"/>
    <sheet name="T" sheetId="10" r:id="rId23"/>
    <sheet name="T2" sheetId="11" r:id="rId24"/>
  </sheets>
  <definedNames>
    <definedName name="ActualNumberOfPayments" localSheetId="18">IFERROR(IF([0]!LoanIsGood,IF([0]!PaymentsPerYear=1,1,MATCH(0.01,Copy1!End_Bal,-1)+1)),"")</definedName>
    <definedName name="ActualNumberOfPayments" localSheetId="2">IFERROR(IF([0]!LoanIsGood,IF([0]!PaymentsPerYear=1,1,MATCH(0.01,FV_April25!End_Bal,-1)+1)),"")</definedName>
    <definedName name="ActualNumberOfPayments" localSheetId="6">IFERROR(IF([0]!LoanIsGood,IF([0]!PaymentsPerYear=1,1,MATCH(0.01,FV_August25!End_Bal,-1)+1)),"")</definedName>
    <definedName name="ActualNumberOfPayments" localSheetId="10">IFERROR(IF([0]!LoanIsGood,IF([0]!PaymentsPerYear=1,1,MATCH(0.01,FV_Dec25!End_Bal,-1)+1)),"")</definedName>
    <definedName name="ActualNumberOfPayments" localSheetId="12">IFERROR(IF([0]!LoanIsGood,IF([0]!PaymentsPerYear=1,1,MATCH(0.01,FV_Feb26!End_Bal,-1)+1)),"")</definedName>
    <definedName name="ActualNumberOfPayments" localSheetId="11">IFERROR(IF([0]!LoanIsGood,IF([0]!PaymentsPerYear=1,1,MATCH(0.01,FV_Jan26!End_Bal,-1)+1)),"")</definedName>
    <definedName name="ActualNumberOfPayments" localSheetId="5">IFERROR(IF([0]!LoanIsGood,IF([0]!PaymentsPerYear=1,1,MATCH(0.01,'FV_July25 '!End_Bal,-1)+1)),"")</definedName>
    <definedName name="ActualNumberOfPayments" localSheetId="16">IFERROR(IF([0]!LoanIsGood,IF([0]!PaymentsPerYear=1,1,MATCH(0.01,FV_July25TEST!End_Bal,-1)+1)),"")</definedName>
    <definedName name="ActualNumberOfPayments" localSheetId="4">IFERROR(IF([0]!LoanIsGood,IF([0]!PaymentsPerYear=1,1,MATCH(0.01,FV_June25!End_Bal,-1)+1)),"")</definedName>
    <definedName name="ActualNumberOfPayments" localSheetId="13">IFERROR(IF([0]!LoanIsGood,IF([0]!PaymentsPerYear=1,1,MATCH(0.01,FV_Mar26!End_Bal,-1)+1)),"")</definedName>
    <definedName name="ActualNumberOfPayments" localSheetId="3">IFERROR(IF([0]!LoanIsGood,IF([0]!PaymentsPerYear=1,1,MATCH(0.01,FV_May25!End_Bal,-1)+1)),"")</definedName>
    <definedName name="ActualNumberOfPayments" localSheetId="9">IFERROR(IF([0]!LoanIsGood,IF([0]!PaymentsPerYear=1,1,MATCH(0.01,FV_Nov25!End_Bal,-1)+1)),"")</definedName>
    <definedName name="ActualNumberOfPayments" localSheetId="8">IFERROR(IF([0]!LoanIsGood,IF([0]!PaymentsPerYear=1,1,MATCH(0.01,FV_October25!End_Bal,-1)+1)),"")</definedName>
    <definedName name="ActualNumberOfPayments" localSheetId="14">IFERROR(IF([0]!LoanIsGood,IF([0]!PaymentsPerYear=1,1,MATCH(0.01,FV_PLANNING!End_Bal,-1)+1)),"")</definedName>
    <definedName name="ActualNumberOfPayments" localSheetId="15">IFERROR(IF([0]!LoanIsGood,IF([0]!PaymentsPerYear=1,1,MATCH(0.01,FV_PLANNING2!End_Bal,-1)+1)),"")</definedName>
    <definedName name="ActualNumberOfPayments" localSheetId="17">IFERROR(IF([0]!LoanIsGood,IF([0]!PaymentsPerYear=1,1,MATCH(0.01,FV_Play!End_Bal,-1)+1)),"")</definedName>
    <definedName name="ActualNumberOfPayments" localSheetId="7">IFERROR(IF([0]!LoanIsGood,IF([0]!PaymentsPerYear=1,1,MATCH(0.01,FV_September25!End_Bal,-1)+1)),"")</definedName>
    <definedName name="ActualNumberOfPayments" localSheetId="19">IFERROR(IF([0]!LoanIsGood,IF([0]!PaymentsPerYear=1,1,MATCH(0.01,HouseView!End_Bal,-1)+1)),"")</definedName>
    <definedName name="ActualNumberOfPayments" localSheetId="0">IFERROR(IF(LoanIsGood,IF(PaymentsPerYear=1,1,MATCH(0.01,End_Bal,-1)+1)),"")</definedName>
    <definedName name="ActualNumberOfPayments" localSheetId="20">IFERROR(IF([0]!LoanIsGood,IF([0]!PaymentsPerYear=1,1,MATCH(0.01,Newhouse!End_Bal,-1)+1)),"")</definedName>
    <definedName name="ActualNumberOfPayments" localSheetId="21">IFERROR(IF([0]!LoanIsGood,IF([0]!PaymentsPerYear=1,1,MATCH(0.01,PayAsh!End_Bal,-1)+1)),"")</definedName>
    <definedName name="ActualNumberOfPayments" localSheetId="1">IFERROR(IF([0]!LoanIsGood,IF([0]!PaymentsPerYear=1,1,MATCH(0.01,[0]!End_Bal,-1)+1)),"")</definedName>
    <definedName name="ActualNumberOfPayments" localSheetId="22">IFERROR(IF([0]!LoanIsGood,IF([0]!PaymentsPerYear=1,1,MATCH(0.01,T!End_Bal,-1)+1)),"")</definedName>
    <definedName name="ActualNumberOfPayments" localSheetId="23">IFERROR(IF([0]!LoanIsGood,IF([0]!PaymentsPerYear=1,1,MATCH(0.01,'T2'!End_Bal,-1)+1)),"")</definedName>
    <definedName name="ActualNumberOfPayments">IFERROR(IF(LoanIsGood,IF(PaymentsPerYear=1,1,MATCH(0.01,End_Bal,-1)+1)),"")</definedName>
    <definedName name="ColumnTitle1" localSheetId="18">#REF!</definedName>
    <definedName name="ColumnTitle1" localSheetId="2">#REF!</definedName>
    <definedName name="ColumnTitle1" localSheetId="6">#REF!</definedName>
    <definedName name="ColumnTitle1" localSheetId="10">#REF!</definedName>
    <definedName name="ColumnTitle1" localSheetId="12">#REF!</definedName>
    <definedName name="ColumnTitle1" localSheetId="11">#REF!</definedName>
    <definedName name="ColumnTitle1" localSheetId="5">#REF!</definedName>
    <definedName name="ColumnTitle1" localSheetId="16">#REF!</definedName>
    <definedName name="ColumnTitle1" localSheetId="4">#REF!</definedName>
    <definedName name="ColumnTitle1" localSheetId="13">#REF!</definedName>
    <definedName name="ColumnTitle1" localSheetId="3">#REF!</definedName>
    <definedName name="ColumnTitle1" localSheetId="9">#REF!</definedName>
    <definedName name="ColumnTitle1" localSheetId="8">#REF!</definedName>
    <definedName name="ColumnTitle1" localSheetId="14">#REF!</definedName>
    <definedName name="ColumnTitle1" localSheetId="15">#REF!</definedName>
    <definedName name="ColumnTitle1" localSheetId="17">#REF!</definedName>
    <definedName name="ColumnTitle1" localSheetId="7">#REF!</definedName>
    <definedName name="ColumnTitle1" localSheetId="19">#REF!</definedName>
    <definedName name="ColumnTitle1" localSheetId="20">#REF!</definedName>
    <definedName name="ColumnTitle1" localSheetId="21">#REF!</definedName>
    <definedName name="ColumnTitle1" localSheetId="22">#REF!</definedName>
    <definedName name="ColumnTitle1" localSheetId="23">#REF!</definedName>
    <definedName name="ColumnTitle1">#REF!</definedName>
    <definedName name="End_Bal" localSheetId="18">#REF!</definedName>
    <definedName name="End_Bal" localSheetId="2">#REF!</definedName>
    <definedName name="End_Bal" localSheetId="6">#REF!</definedName>
    <definedName name="End_Bal" localSheetId="10">#REF!</definedName>
    <definedName name="End_Bal" localSheetId="12">#REF!</definedName>
    <definedName name="End_Bal" localSheetId="11">#REF!</definedName>
    <definedName name="End_Bal" localSheetId="5">#REF!</definedName>
    <definedName name="End_Bal" localSheetId="16">#REF!</definedName>
    <definedName name="End_Bal" localSheetId="4">#REF!</definedName>
    <definedName name="End_Bal" localSheetId="13">#REF!</definedName>
    <definedName name="End_Bal" localSheetId="3">#REF!</definedName>
    <definedName name="End_Bal" localSheetId="9">#REF!</definedName>
    <definedName name="End_Bal" localSheetId="8">#REF!</definedName>
    <definedName name="End_Bal" localSheetId="14">#REF!</definedName>
    <definedName name="End_Bal" localSheetId="15">#REF!</definedName>
    <definedName name="End_Bal" localSheetId="17">#REF!</definedName>
    <definedName name="End_Bal" localSheetId="7">#REF!</definedName>
    <definedName name="End_Bal" localSheetId="19">#REF!</definedName>
    <definedName name="End_Bal" localSheetId="20">#REF!</definedName>
    <definedName name="End_Bal" localSheetId="21">#REF!</definedName>
    <definedName name="End_Bal" localSheetId="22">#REF!</definedName>
    <definedName name="End_Bal" localSheetId="23">#REF!</definedName>
    <definedName name="End_Bal">#REF!</definedName>
    <definedName name="ExtraPayments">#REF!</definedName>
    <definedName name="InterestRate">#REF!</definedName>
    <definedName name="LastCol">MATCH(REPT("z",255),#REF!)</definedName>
    <definedName name="LastRow">MATCH(9.99E+307,#REF!)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PaymentsPerYear">#REF!</definedName>
    <definedName name="PrintArea_SET" localSheetId="0">OFFSET(#REF!,,,LastRow,LastCol)</definedName>
    <definedName name="PrintArea_SET" localSheetId="1">OFFSET(#REF!,,,[0]!LastRow,[0]!LastCol)</definedName>
    <definedName name="PrintArea_SET">OFFSET(#REF!,,,LastRow,LastCol)</definedName>
    <definedName name="ScheduledNumberOfPayments">#REF!</definedName>
    <definedName name="ScheduledPayment">#REF!</definedName>
    <definedName name="TotalEarlyPayments" localSheetId="18">SUM(#REF!)</definedName>
    <definedName name="TotalEarlyPayments" localSheetId="2">SUM(#REF!)</definedName>
    <definedName name="TotalEarlyPayments" localSheetId="6">SUM(#REF!)</definedName>
    <definedName name="TotalEarlyPayments" localSheetId="10">SUM(#REF!)</definedName>
    <definedName name="TotalEarlyPayments" localSheetId="12">SUM(#REF!)</definedName>
    <definedName name="TotalEarlyPayments" localSheetId="11">SUM(#REF!)</definedName>
    <definedName name="TotalEarlyPayments" localSheetId="5">SUM(#REF!)</definedName>
    <definedName name="TotalEarlyPayments" localSheetId="16">SUM(#REF!)</definedName>
    <definedName name="TotalEarlyPayments" localSheetId="4">SUM(#REF!)</definedName>
    <definedName name="TotalEarlyPayments" localSheetId="13">SUM(#REF!)</definedName>
    <definedName name="TotalEarlyPayments" localSheetId="3">SUM(#REF!)</definedName>
    <definedName name="TotalEarlyPayments" localSheetId="9">SUM(#REF!)</definedName>
    <definedName name="TotalEarlyPayments" localSheetId="8">SUM(#REF!)</definedName>
    <definedName name="TotalEarlyPayments" localSheetId="14">SUM(#REF!)</definedName>
    <definedName name="TotalEarlyPayments" localSheetId="15">SUM(#REF!)</definedName>
    <definedName name="TotalEarlyPayments" localSheetId="17">SUM(#REF!)</definedName>
    <definedName name="TotalEarlyPayments" localSheetId="7">SUM(#REF!)</definedName>
    <definedName name="TotalEarlyPayments" localSheetId="19">SUM(#REF!)</definedName>
    <definedName name="TotalEarlyPayments" localSheetId="20">SUM(#REF!)</definedName>
    <definedName name="TotalEarlyPayments" localSheetId="21">SUM(#REF!)</definedName>
    <definedName name="TotalEarlyPayments" localSheetId="22">SUM(#REF!)</definedName>
    <definedName name="TotalEarlyPayments" localSheetId="23">SUM(#REF!)</definedName>
    <definedName name="TotalEarlyPayments">SUM(#REF!)</definedName>
    <definedName name="TotalInterest" localSheetId="18">SUM(#REF!)</definedName>
    <definedName name="TotalInterest" localSheetId="2">SUM(#REF!)</definedName>
    <definedName name="TotalInterest" localSheetId="6">SUM(#REF!)</definedName>
    <definedName name="TotalInterest" localSheetId="10">SUM(#REF!)</definedName>
    <definedName name="TotalInterest" localSheetId="12">SUM(#REF!)</definedName>
    <definedName name="TotalInterest" localSheetId="11">SUM(#REF!)</definedName>
    <definedName name="TotalInterest" localSheetId="5">SUM(#REF!)</definedName>
    <definedName name="TotalInterest" localSheetId="16">SUM(#REF!)</definedName>
    <definedName name="TotalInterest" localSheetId="4">SUM(#REF!)</definedName>
    <definedName name="TotalInterest" localSheetId="13">SUM(#REF!)</definedName>
    <definedName name="TotalInterest" localSheetId="3">SUM(#REF!)</definedName>
    <definedName name="TotalInterest" localSheetId="9">SUM(#REF!)</definedName>
    <definedName name="TotalInterest" localSheetId="8">SUM(#REF!)</definedName>
    <definedName name="TotalInterest" localSheetId="14">SUM(#REF!)</definedName>
    <definedName name="TotalInterest" localSheetId="15">SUM(#REF!)</definedName>
    <definedName name="TotalInterest" localSheetId="17">SUM(#REF!)</definedName>
    <definedName name="TotalInterest" localSheetId="7">SUM(#REF!)</definedName>
    <definedName name="TotalInterest" localSheetId="19">SUM(#REF!)</definedName>
    <definedName name="TotalInterest" localSheetId="20">SUM(#REF!)</definedName>
    <definedName name="TotalInterest" localSheetId="21">SUM(#REF!)</definedName>
    <definedName name="TotalInterest" localSheetId="22">SUM(#REF!)</definedName>
    <definedName name="TotalInterest" localSheetId="23">SUM(#REF!)</definedName>
    <definedName name="TotalInterest">SUM(#REF!)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9" l="1"/>
  <c r="D112" i="39"/>
  <c r="D111" i="39"/>
  <c r="D110" i="39"/>
  <c r="D102" i="39"/>
  <c r="H101" i="39"/>
  <c r="H100" i="39"/>
  <c r="M88" i="39"/>
  <c r="O89" i="39" s="1"/>
  <c r="O90" i="39" s="1"/>
  <c r="O92" i="39" s="1"/>
  <c r="O93" i="39" s="1"/>
  <c r="X66" i="39"/>
  <c r="X65" i="39"/>
  <c r="T64" i="39"/>
  <c r="X64" i="39" s="1"/>
  <c r="X63" i="39"/>
  <c r="X62" i="39"/>
  <c r="X61" i="39"/>
  <c r="X60" i="39"/>
  <c r="X59" i="39"/>
  <c r="X58" i="39"/>
  <c r="X57" i="39"/>
  <c r="X56" i="39"/>
  <c r="X55" i="39"/>
  <c r="X54" i="39"/>
  <c r="X53" i="39"/>
  <c r="I53" i="39"/>
  <c r="D53" i="39" s="1"/>
  <c r="G53" i="39"/>
  <c r="E53" i="39"/>
  <c r="B53" i="39"/>
  <c r="T52" i="39"/>
  <c r="X52" i="39" s="1"/>
  <c r="I52" i="39"/>
  <c r="G52" i="39"/>
  <c r="E52" i="39"/>
  <c r="S7" i="39" s="1"/>
  <c r="S8" i="39" s="1"/>
  <c r="S9" i="39" s="1"/>
  <c r="S10" i="39" s="1"/>
  <c r="S11" i="39" s="1"/>
  <c r="S12" i="39" s="1"/>
  <c r="S13" i="39" s="1"/>
  <c r="S14" i="39" s="1"/>
  <c r="S15" i="39" s="1"/>
  <c r="S16" i="39" s="1"/>
  <c r="S17" i="39" s="1"/>
  <c r="S18" i="39" s="1"/>
  <c r="S19" i="39" s="1"/>
  <c r="S20" i="39" s="1"/>
  <c r="S21" i="39" s="1"/>
  <c r="S22" i="39" s="1"/>
  <c r="S23" i="39" s="1"/>
  <c r="S24" i="39" s="1"/>
  <c r="S25" i="39" s="1"/>
  <c r="S26" i="39" s="1"/>
  <c r="S27" i="39" s="1"/>
  <c r="S28" i="39" s="1"/>
  <c r="S29" i="39" s="1"/>
  <c r="S30" i="39" s="1"/>
  <c r="S31" i="39" s="1"/>
  <c r="S32" i="39" s="1"/>
  <c r="S33" i="39" s="1"/>
  <c r="S34" i="39" s="1"/>
  <c r="S35" i="39" s="1"/>
  <c r="S36" i="39" s="1"/>
  <c r="S37" i="39" s="1"/>
  <c r="S38" i="39" s="1"/>
  <c r="S39" i="39" s="1"/>
  <c r="S40" i="39" s="1"/>
  <c r="S41" i="39" s="1"/>
  <c r="S42" i="39" s="1"/>
  <c r="S43" i="39" s="1"/>
  <c r="S44" i="39" s="1"/>
  <c r="S45" i="39" s="1"/>
  <c r="S46" i="39" s="1"/>
  <c r="S47" i="39" s="1"/>
  <c r="S48" i="39" s="1"/>
  <c r="S49" i="39" s="1"/>
  <c r="S50" i="39" s="1"/>
  <c r="S51" i="39" s="1"/>
  <c r="S52" i="39" s="1"/>
  <c r="S53" i="39" s="1"/>
  <c r="S54" i="39" s="1"/>
  <c r="S55" i="39" s="1"/>
  <c r="S56" i="39" s="1"/>
  <c r="S57" i="39" s="1"/>
  <c r="S58" i="39" s="1"/>
  <c r="S59" i="39" s="1"/>
  <c r="S60" i="39" s="1"/>
  <c r="S61" i="39" s="1"/>
  <c r="S62" i="39" s="1"/>
  <c r="S63" i="39" s="1"/>
  <c r="S64" i="39" s="1"/>
  <c r="S65" i="39" s="1"/>
  <c r="S66" i="39" s="1"/>
  <c r="D52" i="39"/>
  <c r="B52" i="39"/>
  <c r="X51" i="39"/>
  <c r="I51" i="39"/>
  <c r="G51" i="39"/>
  <c r="E51" i="39"/>
  <c r="D51" i="39" s="1"/>
  <c r="B51" i="39"/>
  <c r="X50" i="39"/>
  <c r="I50" i="39"/>
  <c r="G50" i="39"/>
  <c r="E50" i="39"/>
  <c r="D50" i="39"/>
  <c r="B50" i="39"/>
  <c r="X49" i="39"/>
  <c r="I49" i="39"/>
  <c r="D72" i="39" s="1"/>
  <c r="D79" i="39" s="1"/>
  <c r="D81" i="39" s="1"/>
  <c r="D83" i="39" s="1"/>
  <c r="G49" i="39"/>
  <c r="E49" i="39"/>
  <c r="D49" i="39" s="1"/>
  <c r="H102" i="39" s="1"/>
  <c r="B49" i="39"/>
  <c r="X48" i="39"/>
  <c r="M48" i="39"/>
  <c r="L48" i="39"/>
  <c r="I48" i="39"/>
  <c r="G48" i="39"/>
  <c r="E48" i="39"/>
  <c r="D74" i="39" s="1"/>
  <c r="D48" i="39"/>
  <c r="B48" i="39"/>
  <c r="X47" i="39"/>
  <c r="M47" i="39"/>
  <c r="L47" i="39"/>
  <c r="X46" i="39"/>
  <c r="M46" i="39"/>
  <c r="L46" i="39"/>
  <c r="E46" i="39"/>
  <c r="X45" i="39"/>
  <c r="M45" i="39"/>
  <c r="L45" i="39"/>
  <c r="E45" i="39"/>
  <c r="X44" i="39"/>
  <c r="M44" i="39"/>
  <c r="L44" i="39"/>
  <c r="X43" i="39"/>
  <c r="M43" i="39"/>
  <c r="D99" i="39" s="1"/>
  <c r="L43" i="39"/>
  <c r="E43" i="39"/>
  <c r="B43" i="39"/>
  <c r="X42" i="39"/>
  <c r="M42" i="39"/>
  <c r="D29" i="39" s="1"/>
  <c r="C29" i="39" s="1"/>
  <c r="L42" i="39"/>
  <c r="E42" i="39"/>
  <c r="I83" i="39" s="1"/>
  <c r="X41" i="39"/>
  <c r="M41" i="39"/>
  <c r="L41" i="39"/>
  <c r="E41" i="39"/>
  <c r="T40" i="39"/>
  <c r="X40" i="39" s="1"/>
  <c r="E40" i="39"/>
  <c r="X39" i="39"/>
  <c r="E39" i="39"/>
  <c r="X38" i="39"/>
  <c r="E38" i="39"/>
  <c r="X37" i="39"/>
  <c r="X36" i="39"/>
  <c r="X35" i="39"/>
  <c r="X34" i="39"/>
  <c r="X33" i="39"/>
  <c r="X32" i="39"/>
  <c r="M32" i="39"/>
  <c r="X31" i="39"/>
  <c r="M31" i="39"/>
  <c r="D31" i="39"/>
  <c r="X30" i="39"/>
  <c r="M30" i="39"/>
  <c r="D30" i="39"/>
  <c r="C30" i="39" s="1"/>
  <c r="X29" i="39"/>
  <c r="M29" i="39"/>
  <c r="D23" i="39" s="1"/>
  <c r="T28" i="39"/>
  <c r="X28" i="39" s="1"/>
  <c r="X27" i="39"/>
  <c r="X26" i="39"/>
  <c r="X25" i="39"/>
  <c r="M25" i="39"/>
  <c r="M26" i="39" s="1"/>
  <c r="D25" i="39"/>
  <c r="C25" i="39"/>
  <c r="X24" i="39"/>
  <c r="M24" i="39"/>
  <c r="D24" i="39" s="1"/>
  <c r="C24" i="39" s="1"/>
  <c r="X23" i="39"/>
  <c r="X22" i="39"/>
  <c r="D22" i="39"/>
  <c r="X21" i="39"/>
  <c r="X20" i="39"/>
  <c r="X19" i="39"/>
  <c r="X18" i="39"/>
  <c r="D18" i="39"/>
  <c r="C18" i="39"/>
  <c r="B18" i="39"/>
  <c r="T17" i="39"/>
  <c r="X17" i="39" s="1"/>
  <c r="I17" i="39"/>
  <c r="D17" i="39"/>
  <c r="B17" i="39"/>
  <c r="X16" i="39"/>
  <c r="D16" i="39"/>
  <c r="C16" i="39" s="1"/>
  <c r="H16" i="39" s="1"/>
  <c r="B16" i="39"/>
  <c r="X15" i="39"/>
  <c r="I15" i="39"/>
  <c r="D15" i="39"/>
  <c r="C15" i="39"/>
  <c r="H15" i="39" s="1"/>
  <c r="B15" i="39"/>
  <c r="X14" i="39"/>
  <c r="D14" i="39"/>
  <c r="I14" i="39" s="1"/>
  <c r="B14" i="39"/>
  <c r="X13" i="39"/>
  <c r="X12" i="39"/>
  <c r="X11" i="39"/>
  <c r="X10" i="39"/>
  <c r="D10" i="39"/>
  <c r="X9" i="39"/>
  <c r="D9" i="39"/>
  <c r="E9" i="39" s="1"/>
  <c r="C9" i="39"/>
  <c r="X8" i="39"/>
  <c r="D8" i="39"/>
  <c r="H5" i="39" s="1"/>
  <c r="X7" i="39"/>
  <c r="Q7" i="39"/>
  <c r="Q8" i="39" s="1"/>
  <c r="D7" i="39"/>
  <c r="C7" i="39"/>
  <c r="D6" i="39"/>
  <c r="C6" i="39" s="1"/>
  <c r="E40" i="38"/>
  <c r="B53" i="38"/>
  <c r="B52" i="38"/>
  <c r="B51" i="38"/>
  <c r="B50" i="38"/>
  <c r="B49" i="38"/>
  <c r="B48" i="38"/>
  <c r="G48" i="38"/>
  <c r="G49" i="38"/>
  <c r="G50" i="38"/>
  <c r="G51" i="38"/>
  <c r="G52" i="38"/>
  <c r="G53" i="38"/>
  <c r="D112" i="38"/>
  <c r="D110" i="38"/>
  <c r="H101" i="38"/>
  <c r="H100" i="38"/>
  <c r="M97" i="38"/>
  <c r="M88" i="38"/>
  <c r="O89" i="38"/>
  <c r="O90" i="38"/>
  <c r="O92" i="38"/>
  <c r="O93" i="38"/>
  <c r="X66" i="38"/>
  <c r="X65" i="38"/>
  <c r="T64" i="38"/>
  <c r="X64" i="38"/>
  <c r="X63" i="38"/>
  <c r="X62" i="38"/>
  <c r="X61" i="38"/>
  <c r="X60" i="38"/>
  <c r="X59" i="38"/>
  <c r="X58" i="38"/>
  <c r="X57" i="38"/>
  <c r="X56" i="38"/>
  <c r="X55" i="38"/>
  <c r="X54" i="38"/>
  <c r="X53" i="38"/>
  <c r="I53" i="38"/>
  <c r="E53" i="38"/>
  <c r="T52" i="38"/>
  <c r="X52" i="38"/>
  <c r="I52" i="38"/>
  <c r="E52" i="38"/>
  <c r="I17" i="38" s="1"/>
  <c r="D52" i="38"/>
  <c r="X51" i="38"/>
  <c r="I51" i="38"/>
  <c r="E51" i="38"/>
  <c r="D51" i="38" s="1"/>
  <c r="I16" i="38"/>
  <c r="X50" i="38"/>
  <c r="I50" i="38"/>
  <c r="E50" i="38"/>
  <c r="D50" i="38"/>
  <c r="X49" i="38"/>
  <c r="I49" i="38"/>
  <c r="E49" i="38"/>
  <c r="X48" i="38"/>
  <c r="M48" i="38"/>
  <c r="L48" i="38"/>
  <c r="I48" i="38"/>
  <c r="E48" i="38"/>
  <c r="D48" i="38"/>
  <c r="X47" i="38"/>
  <c r="M47" i="38"/>
  <c r="L47" i="38"/>
  <c r="X46" i="38"/>
  <c r="M46" i="38"/>
  <c r="D111" i="38"/>
  <c r="L46" i="38"/>
  <c r="E46" i="38"/>
  <c r="X45" i="38"/>
  <c r="M45" i="38"/>
  <c r="D102" i="38"/>
  <c r="L45" i="38"/>
  <c r="E45" i="38"/>
  <c r="X44" i="38"/>
  <c r="M44" i="38"/>
  <c r="L44" i="38"/>
  <c r="X43" i="38"/>
  <c r="M43" i="38"/>
  <c r="D99" i="38"/>
  <c r="L43" i="38"/>
  <c r="E43" i="38"/>
  <c r="B43" i="38"/>
  <c r="X42" i="38"/>
  <c r="M42" i="38"/>
  <c r="D29" i="38"/>
  <c r="C29" i="38"/>
  <c r="L42" i="38"/>
  <c r="E42" i="38"/>
  <c r="X41" i="38"/>
  <c r="M41" i="38"/>
  <c r="M40" i="38"/>
  <c r="D121" i="38"/>
  <c r="D123" i="38"/>
  <c r="L41" i="38"/>
  <c r="E41" i="38"/>
  <c r="T40" i="38"/>
  <c r="X40" i="38"/>
  <c r="X39" i="38"/>
  <c r="E39" i="38"/>
  <c r="X38" i="38"/>
  <c r="E38" i="38"/>
  <c r="V7" i="38"/>
  <c r="X37" i="38"/>
  <c r="X36" i="38"/>
  <c r="X35" i="38"/>
  <c r="X34" i="38"/>
  <c r="X33" i="38"/>
  <c r="X32" i="38"/>
  <c r="M32" i="38"/>
  <c r="X31" i="38"/>
  <c r="M31" i="38"/>
  <c r="D31" i="38"/>
  <c r="X30" i="38"/>
  <c r="M30" i="38"/>
  <c r="D30" i="38"/>
  <c r="C30" i="38"/>
  <c r="X29" i="38"/>
  <c r="M29" i="38"/>
  <c r="T28" i="38"/>
  <c r="X28" i="38"/>
  <c r="X27" i="38"/>
  <c r="X26" i="38"/>
  <c r="X25" i="38"/>
  <c r="M25" i="38"/>
  <c r="M26" i="38"/>
  <c r="D25" i="38"/>
  <c r="C25" i="38"/>
  <c r="X24" i="38"/>
  <c r="M24" i="38"/>
  <c r="D24" i="38"/>
  <c r="C24" i="38"/>
  <c r="X23" i="38"/>
  <c r="X22" i="38"/>
  <c r="D22" i="38"/>
  <c r="C22" i="38"/>
  <c r="X21" i="38"/>
  <c r="X20" i="38"/>
  <c r="X19" i="38"/>
  <c r="X18" i="38"/>
  <c r="D18" i="38"/>
  <c r="C18" i="38"/>
  <c r="B18" i="38"/>
  <c r="T17" i="38"/>
  <c r="X17" i="38"/>
  <c r="D17" i="38"/>
  <c r="C17" i="38"/>
  <c r="B17" i="38"/>
  <c r="X16" i="38"/>
  <c r="D16" i="38"/>
  <c r="E16" i="38"/>
  <c r="C16" i="38"/>
  <c r="B16" i="38"/>
  <c r="X15" i="38"/>
  <c r="I15" i="38"/>
  <c r="E15" i="38"/>
  <c r="D15" i="38"/>
  <c r="C15" i="38"/>
  <c r="H15" i="38"/>
  <c r="B15" i="38"/>
  <c r="X14" i="38"/>
  <c r="D14" i="38"/>
  <c r="C14" i="38"/>
  <c r="H14" i="38"/>
  <c r="B14" i="38"/>
  <c r="X13" i="38"/>
  <c r="X12" i="38"/>
  <c r="X11" i="38"/>
  <c r="X10" i="38"/>
  <c r="D10" i="38"/>
  <c r="X9" i="38"/>
  <c r="D9" i="38"/>
  <c r="E9" i="38"/>
  <c r="X8" i="38"/>
  <c r="D8" i="38"/>
  <c r="X7" i="38"/>
  <c r="Q7" i="38"/>
  <c r="Q8" i="38" s="1"/>
  <c r="Q9" i="38" s="1"/>
  <c r="D7" i="38"/>
  <c r="D6" i="38"/>
  <c r="C6" i="38"/>
  <c r="D110" i="37"/>
  <c r="H101" i="37"/>
  <c r="H100" i="37"/>
  <c r="M97" i="37"/>
  <c r="O90" i="37"/>
  <c r="O92" i="37"/>
  <c r="O93" i="37"/>
  <c r="O89" i="37"/>
  <c r="M88" i="37"/>
  <c r="X66" i="37"/>
  <c r="X65" i="37"/>
  <c r="T64" i="37"/>
  <c r="X64" i="37"/>
  <c r="X63" i="37"/>
  <c r="X62" i="37"/>
  <c r="X61" i="37"/>
  <c r="X60" i="37"/>
  <c r="X59" i="37"/>
  <c r="X58" i="37"/>
  <c r="X57" i="37"/>
  <c r="X56" i="37"/>
  <c r="X55" i="37"/>
  <c r="X54" i="37"/>
  <c r="X53" i="37"/>
  <c r="I53" i="37"/>
  <c r="E53" i="37"/>
  <c r="D53" i="37"/>
  <c r="T52" i="37"/>
  <c r="X52" i="37"/>
  <c r="I52" i="37"/>
  <c r="E52" i="37"/>
  <c r="I17" i="37"/>
  <c r="X51" i="37"/>
  <c r="I51" i="37"/>
  <c r="D51" i="37"/>
  <c r="E51" i="37"/>
  <c r="X50" i="37"/>
  <c r="I50" i="37"/>
  <c r="E50" i="37"/>
  <c r="D74" i="37"/>
  <c r="X49" i="37"/>
  <c r="I49" i="37"/>
  <c r="D23" i="37"/>
  <c r="C23" i="37"/>
  <c r="E49" i="37"/>
  <c r="X48" i="37"/>
  <c r="M48" i="37"/>
  <c r="L48" i="37"/>
  <c r="I48" i="37"/>
  <c r="E48" i="37"/>
  <c r="D48" i="37"/>
  <c r="X47" i="37"/>
  <c r="M47" i="37"/>
  <c r="L47" i="37"/>
  <c r="X46" i="37"/>
  <c r="M46" i="37"/>
  <c r="D111" i="37"/>
  <c r="L46" i="37"/>
  <c r="E46" i="37"/>
  <c r="X45" i="37"/>
  <c r="M45" i="37"/>
  <c r="D102" i="37"/>
  <c r="L45" i="37"/>
  <c r="E45" i="37"/>
  <c r="X44" i="37"/>
  <c r="M44" i="37"/>
  <c r="L44" i="37"/>
  <c r="X43" i="37"/>
  <c r="M43" i="37"/>
  <c r="D29" i="37"/>
  <c r="C29" i="37"/>
  <c r="L43" i="37"/>
  <c r="E43" i="37"/>
  <c r="I82" i="37"/>
  <c r="B43" i="37"/>
  <c r="X42" i="37"/>
  <c r="M42" i="37"/>
  <c r="D98" i="37"/>
  <c r="L42" i="37"/>
  <c r="E42" i="37"/>
  <c r="X41" i="37"/>
  <c r="M41" i="37"/>
  <c r="M40" i="37"/>
  <c r="D121" i="37"/>
  <c r="D123" i="37"/>
  <c r="L41" i="37"/>
  <c r="E41" i="37"/>
  <c r="X40" i="37"/>
  <c r="T40" i="37"/>
  <c r="X39" i="37"/>
  <c r="E39" i="37"/>
  <c r="X38" i="37"/>
  <c r="E38" i="37"/>
  <c r="X37" i="37"/>
  <c r="X36" i="37"/>
  <c r="X35" i="37"/>
  <c r="X34" i="37"/>
  <c r="X33" i="37"/>
  <c r="X32" i="37"/>
  <c r="M32" i="37"/>
  <c r="X31" i="37"/>
  <c r="M31" i="37"/>
  <c r="D31" i="37"/>
  <c r="X30" i="37"/>
  <c r="M30" i="37"/>
  <c r="D30" i="37"/>
  <c r="C30" i="37"/>
  <c r="X29" i="37"/>
  <c r="M29" i="37"/>
  <c r="T28" i="37"/>
  <c r="X28" i="37"/>
  <c r="X27" i="37"/>
  <c r="X26" i="37"/>
  <c r="X25" i="37"/>
  <c r="X24" i="37"/>
  <c r="M24" i="37"/>
  <c r="D24" i="37"/>
  <c r="C24" i="37"/>
  <c r="X23" i="37"/>
  <c r="X22" i="37"/>
  <c r="D22" i="37"/>
  <c r="C22" i="37"/>
  <c r="X21" i="37"/>
  <c r="X20" i="37"/>
  <c r="X19" i="37"/>
  <c r="X18" i="37"/>
  <c r="D18" i="37"/>
  <c r="B18" i="37"/>
  <c r="T17" i="37"/>
  <c r="X17" i="37"/>
  <c r="D17" i="37"/>
  <c r="C17" i="37"/>
  <c r="H17" i="37"/>
  <c r="B17" i="37"/>
  <c r="X16" i="37"/>
  <c r="I16" i="37"/>
  <c r="H16" i="37"/>
  <c r="D16" i="37"/>
  <c r="C16" i="37"/>
  <c r="B16" i="37"/>
  <c r="X15" i="37"/>
  <c r="H15" i="37"/>
  <c r="D15" i="37"/>
  <c r="I15" i="37"/>
  <c r="C15" i="37"/>
  <c r="B15" i="37"/>
  <c r="X14" i="37"/>
  <c r="D14" i="37"/>
  <c r="C14" i="37"/>
  <c r="H14" i="37"/>
  <c r="B14" i="37"/>
  <c r="X13" i="37"/>
  <c r="X12" i="37"/>
  <c r="X11" i="37"/>
  <c r="X10" i="37"/>
  <c r="D10" i="37"/>
  <c r="X9" i="37"/>
  <c r="E9" i="37"/>
  <c r="D9" i="37"/>
  <c r="C9" i="37"/>
  <c r="X8" i="37"/>
  <c r="E8" i="37"/>
  <c r="D8" i="37"/>
  <c r="X7" i="37"/>
  <c r="V7" i="37"/>
  <c r="Q7" i="37"/>
  <c r="R7" i="37" s="1"/>
  <c r="D7" i="37"/>
  <c r="C7" i="37"/>
  <c r="D6" i="37"/>
  <c r="C6" i="37"/>
  <c r="D22" i="36"/>
  <c r="I32" i="36"/>
  <c r="M88" i="36"/>
  <c r="M97" i="36"/>
  <c r="I83" i="36"/>
  <c r="B43" i="36"/>
  <c r="I48" i="36"/>
  <c r="F16" i="23"/>
  <c r="F14" i="23"/>
  <c r="F13" i="23"/>
  <c r="I83" i="38"/>
  <c r="I84" i="38" s="1"/>
  <c r="D53" i="38"/>
  <c r="D72" i="38"/>
  <c r="I57" i="38"/>
  <c r="W7" i="38"/>
  <c r="W8" i="38"/>
  <c r="H17" i="38"/>
  <c r="I14" i="38"/>
  <c r="H5" i="38"/>
  <c r="U7" i="38"/>
  <c r="I82" i="38"/>
  <c r="D128" i="38"/>
  <c r="D135" i="38"/>
  <c r="D136" i="38"/>
  <c r="D137" i="38"/>
  <c r="D124" i="38"/>
  <c r="C7" i="38"/>
  <c r="I19" i="38"/>
  <c r="M27" i="38"/>
  <c r="D27" i="38"/>
  <c r="C27" i="38"/>
  <c r="D26" i="38"/>
  <c r="C26" i="38"/>
  <c r="D49" i="38"/>
  <c r="C9" i="38"/>
  <c r="D98" i="38"/>
  <c r="D105" i="38"/>
  <c r="E8" i="38"/>
  <c r="E17" i="38"/>
  <c r="D23" i="38"/>
  <c r="C23" i="38"/>
  <c r="D49" i="37"/>
  <c r="E56" i="37"/>
  <c r="D52" i="37"/>
  <c r="D128" i="37"/>
  <c r="D135" i="37"/>
  <c r="D136" i="37"/>
  <c r="D137" i="37"/>
  <c r="D124" i="37"/>
  <c r="I14" i="37"/>
  <c r="E14" i="37"/>
  <c r="H5" i="37"/>
  <c r="E15" i="37"/>
  <c r="D105" i="37"/>
  <c r="D67" i="37"/>
  <c r="E57" i="37"/>
  <c r="D72" i="37"/>
  <c r="D79" i="37"/>
  <c r="D81" i="37"/>
  <c r="D83" i="37"/>
  <c r="D75" i="37"/>
  <c r="S7" i="37"/>
  <c r="S8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22" i="37"/>
  <c r="S23" i="37"/>
  <c r="S24" i="37"/>
  <c r="S25" i="37"/>
  <c r="S26" i="37"/>
  <c r="S27" i="37"/>
  <c r="S28" i="37"/>
  <c r="S29" i="37"/>
  <c r="S30" i="37"/>
  <c r="S31" i="37"/>
  <c r="S32" i="37"/>
  <c r="S33" i="37"/>
  <c r="S34" i="37"/>
  <c r="S35" i="37"/>
  <c r="S36" i="37"/>
  <c r="S37" i="37"/>
  <c r="S38" i="37"/>
  <c r="S39" i="37"/>
  <c r="S40" i="37"/>
  <c r="S41" i="37"/>
  <c r="S42" i="37"/>
  <c r="S43" i="37"/>
  <c r="S44" i="37"/>
  <c r="S45" i="37"/>
  <c r="S46" i="37"/>
  <c r="S47" i="37"/>
  <c r="S48" i="37"/>
  <c r="S49" i="37"/>
  <c r="S50" i="37"/>
  <c r="S51" i="37"/>
  <c r="S52" i="37"/>
  <c r="S53" i="37"/>
  <c r="S54" i="37"/>
  <c r="S55" i="37"/>
  <c r="S56" i="37"/>
  <c r="S57" i="37"/>
  <c r="S58" i="37"/>
  <c r="S59" i="37"/>
  <c r="S60" i="37"/>
  <c r="S61" i="37"/>
  <c r="S62" i="37"/>
  <c r="S63" i="37"/>
  <c r="S64" i="37"/>
  <c r="S65" i="37"/>
  <c r="S66" i="37"/>
  <c r="M25" i="37"/>
  <c r="D112" i="37"/>
  <c r="U7" i="37"/>
  <c r="U8" i="37"/>
  <c r="U9" i="37"/>
  <c r="U10" i="37"/>
  <c r="U11" i="37"/>
  <c r="U12" i="37"/>
  <c r="U13" i="37"/>
  <c r="U14" i="37"/>
  <c r="U15" i="37"/>
  <c r="U16" i="37"/>
  <c r="U17" i="37"/>
  <c r="U18" i="37"/>
  <c r="U19" i="37"/>
  <c r="U20" i="37"/>
  <c r="U21" i="37"/>
  <c r="U22" i="37"/>
  <c r="U23" i="37"/>
  <c r="U24" i="37"/>
  <c r="U25" i="37"/>
  <c r="U26" i="37"/>
  <c r="U27" i="37"/>
  <c r="U28" i="37"/>
  <c r="U29" i="37"/>
  <c r="U30" i="37"/>
  <c r="U31" i="37"/>
  <c r="U32" i="37"/>
  <c r="U33" i="37"/>
  <c r="U34" i="37"/>
  <c r="U35" i="37"/>
  <c r="U36" i="37"/>
  <c r="U37" i="37"/>
  <c r="U38" i="37"/>
  <c r="U39" i="37"/>
  <c r="U40" i="37"/>
  <c r="U41" i="37"/>
  <c r="U42" i="37"/>
  <c r="U43" i="37"/>
  <c r="U44" i="37"/>
  <c r="U45" i="37"/>
  <c r="U46" i="37"/>
  <c r="U47" i="37"/>
  <c r="U48" i="37"/>
  <c r="U49" i="37"/>
  <c r="U50" i="37"/>
  <c r="U51" i="37"/>
  <c r="U52" i="37"/>
  <c r="U53" i="37"/>
  <c r="U54" i="37"/>
  <c r="U55" i="37"/>
  <c r="U56" i="37"/>
  <c r="U57" i="37"/>
  <c r="U58" i="37"/>
  <c r="U59" i="37"/>
  <c r="U60" i="37"/>
  <c r="U61" i="37"/>
  <c r="U62" i="37"/>
  <c r="U63" i="37"/>
  <c r="U64" i="37"/>
  <c r="U65" i="37"/>
  <c r="U66" i="37"/>
  <c r="I57" i="37"/>
  <c r="W7" i="37"/>
  <c r="D99" i="37"/>
  <c r="I19" i="37"/>
  <c r="I83" i="37"/>
  <c r="I84" i="37"/>
  <c r="C18" i="37"/>
  <c r="D50" i="37"/>
  <c r="H102" i="37"/>
  <c r="H104" i="37"/>
  <c r="I104" i="37"/>
  <c r="D112" i="36"/>
  <c r="D110" i="36"/>
  <c r="H101" i="36"/>
  <c r="H100" i="36"/>
  <c r="D98" i="36"/>
  <c r="X66" i="36"/>
  <c r="X65" i="36"/>
  <c r="T64" i="36"/>
  <c r="X64" i="36"/>
  <c r="X63" i="36"/>
  <c r="X62" i="36"/>
  <c r="X61" i="36"/>
  <c r="X60" i="36"/>
  <c r="X59" i="36"/>
  <c r="X58" i="36"/>
  <c r="X57" i="36"/>
  <c r="X56" i="36"/>
  <c r="X55" i="36"/>
  <c r="X54" i="36"/>
  <c r="X53" i="36"/>
  <c r="I53" i="36"/>
  <c r="E53" i="36"/>
  <c r="D53" i="36"/>
  <c r="T52" i="36"/>
  <c r="X52" i="36"/>
  <c r="I52" i="36"/>
  <c r="E52" i="36"/>
  <c r="I17" i="36"/>
  <c r="X51" i="36"/>
  <c r="I51" i="36"/>
  <c r="E51" i="36"/>
  <c r="D51" i="36"/>
  <c r="X50" i="36"/>
  <c r="I50" i="36"/>
  <c r="D24" i="36"/>
  <c r="C24" i="36"/>
  <c r="E50" i="36"/>
  <c r="X49" i="36"/>
  <c r="I49" i="36"/>
  <c r="D23" i="36"/>
  <c r="C23" i="36"/>
  <c r="E49" i="36"/>
  <c r="D49" i="36"/>
  <c r="X48" i="36"/>
  <c r="M48" i="36"/>
  <c r="L48" i="36"/>
  <c r="E48" i="36"/>
  <c r="D48" i="36"/>
  <c r="X47" i="36"/>
  <c r="M47" i="36"/>
  <c r="L47" i="36"/>
  <c r="X46" i="36"/>
  <c r="M46" i="36"/>
  <c r="D111" i="36"/>
  <c r="L46" i="36"/>
  <c r="E46" i="36"/>
  <c r="X45" i="36"/>
  <c r="M45" i="36"/>
  <c r="D102" i="36"/>
  <c r="L45" i="36"/>
  <c r="E45" i="36"/>
  <c r="X44" i="36"/>
  <c r="M44" i="36"/>
  <c r="L44" i="36"/>
  <c r="X43" i="36"/>
  <c r="M43" i="36"/>
  <c r="D99" i="36"/>
  <c r="L43" i="36"/>
  <c r="E43" i="36"/>
  <c r="X42" i="36"/>
  <c r="M42" i="36"/>
  <c r="D29" i="36"/>
  <c r="C29" i="36"/>
  <c r="L42" i="36"/>
  <c r="E42" i="36"/>
  <c r="X41" i="36"/>
  <c r="M41" i="36"/>
  <c r="L41" i="36"/>
  <c r="E41" i="36"/>
  <c r="T40" i="36"/>
  <c r="X40" i="36"/>
  <c r="M40" i="36"/>
  <c r="D121" i="36"/>
  <c r="D123" i="36"/>
  <c r="X39" i="36"/>
  <c r="E39" i="36"/>
  <c r="X38" i="36"/>
  <c r="E38" i="36"/>
  <c r="X37" i="36"/>
  <c r="X36" i="36"/>
  <c r="X35" i="36"/>
  <c r="X34" i="36"/>
  <c r="X33" i="36"/>
  <c r="X32" i="36"/>
  <c r="M32" i="36"/>
  <c r="X31" i="36"/>
  <c r="M31" i="36"/>
  <c r="D31" i="36"/>
  <c r="X30" i="36"/>
  <c r="M30" i="36"/>
  <c r="D30" i="36"/>
  <c r="C30" i="36"/>
  <c r="X29" i="36"/>
  <c r="M29" i="36"/>
  <c r="T28" i="36"/>
  <c r="X28" i="36"/>
  <c r="X27" i="36"/>
  <c r="X26" i="36"/>
  <c r="M26" i="36"/>
  <c r="M27" i="36"/>
  <c r="D26" i="36"/>
  <c r="C26" i="36"/>
  <c r="X25" i="36"/>
  <c r="M25" i="36"/>
  <c r="D25" i="36"/>
  <c r="C25" i="36"/>
  <c r="X24" i="36"/>
  <c r="M24" i="36"/>
  <c r="X23" i="36"/>
  <c r="X22" i="36"/>
  <c r="C22" i="36"/>
  <c r="X21" i="36"/>
  <c r="X20" i="36"/>
  <c r="X19" i="36"/>
  <c r="X18" i="36"/>
  <c r="D18" i="36"/>
  <c r="C18" i="36"/>
  <c r="B18" i="36"/>
  <c r="T17" i="36"/>
  <c r="X17" i="36"/>
  <c r="D17" i="36"/>
  <c r="E17" i="36"/>
  <c r="B17" i="36"/>
  <c r="X16" i="36"/>
  <c r="D16" i="36"/>
  <c r="C16" i="36"/>
  <c r="B16" i="36"/>
  <c r="X15" i="36"/>
  <c r="D15" i="36"/>
  <c r="I15" i="36"/>
  <c r="B15" i="36"/>
  <c r="X14" i="36"/>
  <c r="D14" i="36"/>
  <c r="C14" i="36"/>
  <c r="H14" i="36"/>
  <c r="B14" i="36"/>
  <c r="X13" i="36"/>
  <c r="X12" i="36"/>
  <c r="X11" i="36"/>
  <c r="X10" i="36"/>
  <c r="D10" i="36"/>
  <c r="X9" i="36"/>
  <c r="D9" i="36"/>
  <c r="C9" i="36"/>
  <c r="X8" i="36"/>
  <c r="D8" i="36"/>
  <c r="E8" i="36"/>
  <c r="X7" i="36"/>
  <c r="Q7" i="36"/>
  <c r="R7" i="36" s="1"/>
  <c r="D7" i="36"/>
  <c r="C7" i="36"/>
  <c r="D6" i="36"/>
  <c r="I57" i="35"/>
  <c r="M89" i="35"/>
  <c r="D22" i="35"/>
  <c r="M91" i="35"/>
  <c r="M88" i="35"/>
  <c r="E18" i="38"/>
  <c r="I72" i="38"/>
  <c r="I5" i="38"/>
  <c r="G97" i="38"/>
  <c r="D125" i="38"/>
  <c r="W9" i="38"/>
  <c r="D106" i="38"/>
  <c r="D107" i="38"/>
  <c r="D113" i="38"/>
  <c r="D116" i="38"/>
  <c r="D117" i="38"/>
  <c r="D118" i="38"/>
  <c r="I32" i="38"/>
  <c r="I65" i="38"/>
  <c r="E14" i="38"/>
  <c r="D106" i="37"/>
  <c r="D107" i="37"/>
  <c r="D113" i="37"/>
  <c r="D116" i="37"/>
  <c r="D117" i="37"/>
  <c r="D118" i="37"/>
  <c r="I72" i="37"/>
  <c r="I5" i="37"/>
  <c r="W8" i="37"/>
  <c r="Y7" i="37"/>
  <c r="D77" i="37"/>
  <c r="M26" i="37"/>
  <c r="D25" i="37"/>
  <c r="D125" i="37"/>
  <c r="G97" i="37"/>
  <c r="D65" i="37"/>
  <c r="D68" i="37"/>
  <c r="I82" i="36"/>
  <c r="O89" i="36"/>
  <c r="O90" i="36"/>
  <c r="O92" i="36"/>
  <c r="O93" i="36"/>
  <c r="H16" i="36"/>
  <c r="D75" i="36"/>
  <c r="D52" i="36"/>
  <c r="C15" i="36"/>
  <c r="H15" i="36"/>
  <c r="E14" i="36"/>
  <c r="U7" i="36"/>
  <c r="U8" i="36"/>
  <c r="U9" i="36"/>
  <c r="U10" i="36"/>
  <c r="U11" i="36"/>
  <c r="U12" i="36"/>
  <c r="U13" i="36"/>
  <c r="U14" i="36"/>
  <c r="U15" i="36"/>
  <c r="U16" i="36"/>
  <c r="U17" i="36"/>
  <c r="U18" i="36"/>
  <c r="U19" i="36"/>
  <c r="U20" i="36"/>
  <c r="U21" i="36"/>
  <c r="U22" i="36"/>
  <c r="U23" i="36"/>
  <c r="U24" i="36"/>
  <c r="U25" i="36"/>
  <c r="U26" i="36"/>
  <c r="U27" i="36"/>
  <c r="U28" i="36"/>
  <c r="U29" i="36"/>
  <c r="U30" i="36"/>
  <c r="U31" i="36"/>
  <c r="U32" i="36"/>
  <c r="U33" i="36"/>
  <c r="U34" i="36"/>
  <c r="U35" i="36"/>
  <c r="U36" i="36"/>
  <c r="U37" i="36"/>
  <c r="U38" i="36"/>
  <c r="U39" i="36"/>
  <c r="U40" i="36"/>
  <c r="U41" i="36"/>
  <c r="U42" i="36"/>
  <c r="U43" i="36"/>
  <c r="U44" i="36"/>
  <c r="U45" i="36"/>
  <c r="U46" i="36"/>
  <c r="U47" i="36"/>
  <c r="U48" i="36"/>
  <c r="U49" i="36"/>
  <c r="U50" i="36"/>
  <c r="U51" i="36"/>
  <c r="U52" i="36"/>
  <c r="U53" i="36"/>
  <c r="U54" i="36"/>
  <c r="U55" i="36"/>
  <c r="U56" i="36"/>
  <c r="U57" i="36"/>
  <c r="U58" i="36"/>
  <c r="U59" i="36"/>
  <c r="U60" i="36"/>
  <c r="U61" i="36"/>
  <c r="U62" i="36"/>
  <c r="U63" i="36"/>
  <c r="U64" i="36"/>
  <c r="U65" i="36"/>
  <c r="U66" i="36"/>
  <c r="E16" i="36"/>
  <c r="C19" i="36" a="1"/>
  <c r="C19" i="36"/>
  <c r="D19" i="36"/>
  <c r="D72" i="36"/>
  <c r="D79" i="36"/>
  <c r="D81" i="36"/>
  <c r="D83" i="36"/>
  <c r="D105" i="36"/>
  <c r="E15" i="36"/>
  <c r="D124" i="36"/>
  <c r="D128" i="36"/>
  <c r="D135" i="36"/>
  <c r="D136" i="36"/>
  <c r="D137" i="36"/>
  <c r="D27" i="36"/>
  <c r="I19" i="36"/>
  <c r="D50" i="36"/>
  <c r="D77" i="36"/>
  <c r="S7" i="36"/>
  <c r="S8" i="36"/>
  <c r="S9" i="36"/>
  <c r="S10" i="36"/>
  <c r="S11" i="36"/>
  <c r="S12" i="36"/>
  <c r="S13" i="36"/>
  <c r="S14" i="36"/>
  <c r="S15" i="36"/>
  <c r="S16" i="36"/>
  <c r="S17" i="36"/>
  <c r="S18" i="36"/>
  <c r="S19" i="36"/>
  <c r="S20" i="36"/>
  <c r="S21" i="36"/>
  <c r="S22" i="36"/>
  <c r="S23" i="36"/>
  <c r="S24" i="36"/>
  <c r="S25" i="36"/>
  <c r="S26" i="36"/>
  <c r="S27" i="36"/>
  <c r="S28" i="36"/>
  <c r="S29" i="36"/>
  <c r="S30" i="36"/>
  <c r="S31" i="36"/>
  <c r="S32" i="36"/>
  <c r="S33" i="36"/>
  <c r="S34" i="36"/>
  <c r="S35" i="36"/>
  <c r="S36" i="36"/>
  <c r="S37" i="36"/>
  <c r="S38" i="36"/>
  <c r="S39" i="36"/>
  <c r="S40" i="36"/>
  <c r="S41" i="36"/>
  <c r="S42" i="36"/>
  <c r="S43" i="36"/>
  <c r="S44" i="36"/>
  <c r="S45" i="36"/>
  <c r="S46" i="36"/>
  <c r="S47" i="36"/>
  <c r="S48" i="36"/>
  <c r="S49" i="36"/>
  <c r="S50" i="36"/>
  <c r="S51" i="36"/>
  <c r="S52" i="36"/>
  <c r="S53" i="36"/>
  <c r="S54" i="36"/>
  <c r="S55" i="36"/>
  <c r="S56" i="36"/>
  <c r="S57" i="36"/>
  <c r="S58" i="36"/>
  <c r="S59" i="36"/>
  <c r="S60" i="36"/>
  <c r="S61" i="36"/>
  <c r="S62" i="36"/>
  <c r="S63" i="36"/>
  <c r="S64" i="36"/>
  <c r="S65" i="36"/>
  <c r="S66" i="36"/>
  <c r="D74" i="36"/>
  <c r="H5" i="36"/>
  <c r="C6" i="36"/>
  <c r="I16" i="36"/>
  <c r="I14" i="36"/>
  <c r="I84" i="36"/>
  <c r="E56" i="36"/>
  <c r="V7" i="36"/>
  <c r="I57" i="36"/>
  <c r="W7" i="36"/>
  <c r="C17" i="36"/>
  <c r="H17" i="36"/>
  <c r="E9" i="36"/>
  <c r="M94" i="35"/>
  <c r="D110" i="35"/>
  <c r="H101" i="35"/>
  <c r="H100" i="35"/>
  <c r="X66" i="35"/>
  <c r="X65" i="35"/>
  <c r="T64" i="35"/>
  <c r="X64" i="35"/>
  <c r="X63" i="35"/>
  <c r="X62" i="35"/>
  <c r="X61" i="35"/>
  <c r="X60" i="35"/>
  <c r="X59" i="35"/>
  <c r="X58" i="35"/>
  <c r="X57" i="35"/>
  <c r="X56" i="35"/>
  <c r="X55" i="35"/>
  <c r="X54" i="35"/>
  <c r="X53" i="35"/>
  <c r="I53" i="35"/>
  <c r="E53" i="35"/>
  <c r="D53" i="35"/>
  <c r="X52" i="35"/>
  <c r="T52" i="35"/>
  <c r="I52" i="35"/>
  <c r="E52" i="35"/>
  <c r="D52" i="35"/>
  <c r="X51" i="35"/>
  <c r="I51" i="35"/>
  <c r="E51" i="35"/>
  <c r="I16" i="35"/>
  <c r="D51" i="35"/>
  <c r="X50" i="35"/>
  <c r="I50" i="35"/>
  <c r="E50" i="35"/>
  <c r="D50" i="35"/>
  <c r="X49" i="35"/>
  <c r="I49" i="35"/>
  <c r="E49" i="35"/>
  <c r="D49" i="35"/>
  <c r="X48" i="35"/>
  <c r="M48" i="35"/>
  <c r="L48" i="35"/>
  <c r="I48" i="35"/>
  <c r="W7" i="35"/>
  <c r="E48" i="35"/>
  <c r="X47" i="35"/>
  <c r="M47" i="35"/>
  <c r="L47" i="35"/>
  <c r="X46" i="35"/>
  <c r="M46" i="35"/>
  <c r="D111" i="35"/>
  <c r="L46" i="35"/>
  <c r="E46" i="35"/>
  <c r="X45" i="35"/>
  <c r="M45" i="35"/>
  <c r="D102" i="35"/>
  <c r="L45" i="35"/>
  <c r="E45" i="35"/>
  <c r="X44" i="35"/>
  <c r="M44" i="35"/>
  <c r="L44" i="35"/>
  <c r="X43" i="35"/>
  <c r="M43" i="35"/>
  <c r="D99" i="35"/>
  <c r="L43" i="35"/>
  <c r="E43" i="35"/>
  <c r="I83" i="35"/>
  <c r="X42" i="35"/>
  <c r="M42" i="35"/>
  <c r="D98" i="35"/>
  <c r="D105" i="35"/>
  <c r="L42" i="35"/>
  <c r="E42" i="35"/>
  <c r="X41" i="35"/>
  <c r="M41" i="35"/>
  <c r="M40" i="35"/>
  <c r="D121" i="35"/>
  <c r="D123" i="35"/>
  <c r="L41" i="35"/>
  <c r="E41" i="35"/>
  <c r="X40" i="35"/>
  <c r="T40" i="35"/>
  <c r="X39" i="35"/>
  <c r="E39" i="35"/>
  <c r="X38" i="35"/>
  <c r="E38" i="35"/>
  <c r="X37" i="35"/>
  <c r="X36" i="35"/>
  <c r="X35" i="35"/>
  <c r="X34" i="35"/>
  <c r="X33" i="35"/>
  <c r="X32" i="35"/>
  <c r="M32" i="35"/>
  <c r="X31" i="35"/>
  <c r="M31" i="35"/>
  <c r="D31" i="35"/>
  <c r="X30" i="35"/>
  <c r="M30" i="35"/>
  <c r="D30" i="35"/>
  <c r="C30" i="35"/>
  <c r="X29" i="35"/>
  <c r="M29" i="35"/>
  <c r="T28" i="35"/>
  <c r="X28" i="35"/>
  <c r="X27" i="35"/>
  <c r="X26" i="35"/>
  <c r="X25" i="35"/>
  <c r="M25" i="35"/>
  <c r="M26" i="35"/>
  <c r="D25" i="35"/>
  <c r="E16" i="35"/>
  <c r="C25" i="35"/>
  <c r="X24" i="35"/>
  <c r="M24" i="35"/>
  <c r="D24" i="35"/>
  <c r="C24" i="35"/>
  <c r="X23" i="35"/>
  <c r="D23" i="35"/>
  <c r="C23" i="35"/>
  <c r="X22" i="35"/>
  <c r="C22" i="35"/>
  <c r="X21" i="35"/>
  <c r="X20" i="35"/>
  <c r="X19" i="35"/>
  <c r="X18" i="35"/>
  <c r="D18" i="35"/>
  <c r="C18" i="35"/>
  <c r="B18" i="35"/>
  <c r="T17" i="35"/>
  <c r="X17" i="35"/>
  <c r="D17" i="35"/>
  <c r="B17" i="35"/>
  <c r="X16" i="35"/>
  <c r="D16" i="35"/>
  <c r="C16" i="35"/>
  <c r="B16" i="35"/>
  <c r="X15" i="35"/>
  <c r="D15" i="35"/>
  <c r="I15" i="35"/>
  <c r="B15" i="35"/>
  <c r="X14" i="35"/>
  <c r="D14" i="35"/>
  <c r="B14" i="35"/>
  <c r="X13" i="35"/>
  <c r="X12" i="35"/>
  <c r="X11" i="35"/>
  <c r="X10" i="35"/>
  <c r="D10" i="35"/>
  <c r="X9" i="35"/>
  <c r="D9" i="35"/>
  <c r="E9" i="35"/>
  <c r="X8" i="35"/>
  <c r="D8" i="35"/>
  <c r="E8" i="35"/>
  <c r="X7" i="35"/>
  <c r="V7" i="35"/>
  <c r="S7" i="35"/>
  <c r="S8" i="35"/>
  <c r="S9" i="35"/>
  <c r="S10" i="35"/>
  <c r="S11" i="35"/>
  <c r="S12" i="35"/>
  <c r="S13" i="35"/>
  <c r="S14" i="35"/>
  <c r="S15" i="35"/>
  <c r="S16" i="35"/>
  <c r="S17" i="35"/>
  <c r="S18" i="35"/>
  <c r="S19" i="35"/>
  <c r="S20" i="35"/>
  <c r="S21" i="35"/>
  <c r="S22" i="35"/>
  <c r="S23" i="35"/>
  <c r="S24" i="35"/>
  <c r="S25" i="35"/>
  <c r="S26" i="35"/>
  <c r="S27" i="35"/>
  <c r="S28" i="35"/>
  <c r="S29" i="35"/>
  <c r="S30" i="35"/>
  <c r="S31" i="35"/>
  <c r="S32" i="35"/>
  <c r="S33" i="35"/>
  <c r="S34" i="35"/>
  <c r="S35" i="35"/>
  <c r="S36" i="35"/>
  <c r="S37" i="35"/>
  <c r="S38" i="35"/>
  <c r="S39" i="35"/>
  <c r="S40" i="35"/>
  <c r="S41" i="35"/>
  <c r="S42" i="35"/>
  <c r="S43" i="35"/>
  <c r="S44" i="35"/>
  <c r="S45" i="35"/>
  <c r="S46" i="35"/>
  <c r="S47" i="35"/>
  <c r="S48" i="35"/>
  <c r="S49" i="35"/>
  <c r="S50" i="35"/>
  <c r="S51" i="35"/>
  <c r="S52" i="35"/>
  <c r="S53" i="35"/>
  <c r="S54" i="35"/>
  <c r="S55" i="35"/>
  <c r="S56" i="35"/>
  <c r="S57" i="35"/>
  <c r="S58" i="35"/>
  <c r="S59" i="35"/>
  <c r="S60" i="35"/>
  <c r="S61" i="35"/>
  <c r="S62" i="35"/>
  <c r="S63" i="35"/>
  <c r="S64" i="35"/>
  <c r="S65" i="35"/>
  <c r="S66" i="35"/>
  <c r="Q7" i="35"/>
  <c r="R7" i="35" s="1"/>
  <c r="D7" i="35"/>
  <c r="C7" i="35"/>
  <c r="D6" i="35"/>
  <c r="I19" i="35"/>
  <c r="H5" i="35"/>
  <c r="E19" i="34"/>
  <c r="N122" i="31"/>
  <c r="M109" i="31"/>
  <c r="N109" i="31"/>
  <c r="O109" i="31"/>
  <c r="O110" i="31"/>
  <c r="M108" i="31"/>
  <c r="D112" i="34"/>
  <c r="D111" i="34"/>
  <c r="D110" i="34"/>
  <c r="D102" i="34"/>
  <c r="H101" i="34"/>
  <c r="H100" i="34"/>
  <c r="D98" i="34"/>
  <c r="M94" i="34"/>
  <c r="X66" i="34"/>
  <c r="X65" i="34"/>
  <c r="T64" i="34"/>
  <c r="X64" i="34"/>
  <c r="X63" i="34"/>
  <c r="X62" i="34"/>
  <c r="X61" i="34"/>
  <c r="X60" i="34"/>
  <c r="X59" i="34"/>
  <c r="X58" i="34"/>
  <c r="X57" i="34"/>
  <c r="X56" i="34"/>
  <c r="X55" i="34"/>
  <c r="X54" i="34"/>
  <c r="X53" i="34"/>
  <c r="I53" i="34"/>
  <c r="D53" i="34"/>
  <c r="E53" i="34"/>
  <c r="X52" i="34"/>
  <c r="T52" i="34"/>
  <c r="I52" i="34"/>
  <c r="E52" i="34"/>
  <c r="D52" i="34"/>
  <c r="X51" i="34"/>
  <c r="I51" i="34"/>
  <c r="E51" i="34"/>
  <c r="D51" i="34"/>
  <c r="X50" i="34"/>
  <c r="I50" i="34"/>
  <c r="D24" i="34"/>
  <c r="E50" i="34"/>
  <c r="X49" i="34"/>
  <c r="I49" i="34"/>
  <c r="E49" i="34"/>
  <c r="X48" i="34"/>
  <c r="M48" i="34"/>
  <c r="L48" i="34"/>
  <c r="I48" i="34"/>
  <c r="D72" i="34"/>
  <c r="E48" i="34"/>
  <c r="X47" i="34"/>
  <c r="M47" i="34"/>
  <c r="L47" i="34"/>
  <c r="X46" i="34"/>
  <c r="M46" i="34"/>
  <c r="L46" i="34"/>
  <c r="E46" i="34"/>
  <c r="X45" i="34"/>
  <c r="M45" i="34"/>
  <c r="L45" i="34"/>
  <c r="E45" i="34"/>
  <c r="X44" i="34"/>
  <c r="M44" i="34"/>
  <c r="L44" i="34"/>
  <c r="X43" i="34"/>
  <c r="M43" i="34"/>
  <c r="D99" i="34"/>
  <c r="L43" i="34"/>
  <c r="E43" i="34"/>
  <c r="X42" i="34"/>
  <c r="M42" i="34"/>
  <c r="L42" i="34"/>
  <c r="E42" i="34"/>
  <c r="X41" i="34"/>
  <c r="M41" i="34"/>
  <c r="L41" i="34"/>
  <c r="E41" i="34"/>
  <c r="T40" i="34"/>
  <c r="X40" i="34"/>
  <c r="X39" i="34"/>
  <c r="E39" i="34"/>
  <c r="X38" i="34"/>
  <c r="E38" i="34"/>
  <c r="X37" i="34"/>
  <c r="X36" i="34"/>
  <c r="X35" i="34"/>
  <c r="X34" i="34"/>
  <c r="X33" i="34"/>
  <c r="X32" i="34"/>
  <c r="M32" i="34"/>
  <c r="X31" i="34"/>
  <c r="M31" i="34"/>
  <c r="D31" i="34"/>
  <c r="X30" i="34"/>
  <c r="M30" i="34"/>
  <c r="D30" i="34"/>
  <c r="C30" i="34"/>
  <c r="X29" i="34"/>
  <c r="M29" i="34"/>
  <c r="T28" i="34"/>
  <c r="X28" i="34"/>
  <c r="X27" i="34"/>
  <c r="X26" i="34"/>
  <c r="M26" i="34"/>
  <c r="X25" i="34"/>
  <c r="M25" i="34"/>
  <c r="D25" i="34"/>
  <c r="C25" i="34"/>
  <c r="X24" i="34"/>
  <c r="M24" i="34"/>
  <c r="X23" i="34"/>
  <c r="D23" i="34"/>
  <c r="C23" i="34"/>
  <c r="X22" i="34"/>
  <c r="D22" i="34"/>
  <c r="C22" i="34"/>
  <c r="X21" i="34"/>
  <c r="X20" i="34"/>
  <c r="X19" i="34"/>
  <c r="X18" i="34"/>
  <c r="D18" i="34"/>
  <c r="C18" i="34"/>
  <c r="B18" i="34"/>
  <c r="T17" i="34"/>
  <c r="X17" i="34"/>
  <c r="D17" i="34"/>
  <c r="I17" i="34"/>
  <c r="C17" i="34"/>
  <c r="H17" i="34"/>
  <c r="B17" i="34"/>
  <c r="X16" i="34"/>
  <c r="D16" i="34"/>
  <c r="B16" i="34"/>
  <c r="X15" i="34"/>
  <c r="D15" i="34"/>
  <c r="I15" i="34"/>
  <c r="C15" i="34"/>
  <c r="H15" i="34"/>
  <c r="B15" i="34"/>
  <c r="X14" i="34"/>
  <c r="D14" i="34"/>
  <c r="C14" i="34"/>
  <c r="B14" i="34"/>
  <c r="X13" i="34"/>
  <c r="X12" i="34"/>
  <c r="X11" i="34"/>
  <c r="X10" i="34"/>
  <c r="D10" i="34"/>
  <c r="X9" i="34"/>
  <c r="D9" i="34"/>
  <c r="E9" i="34"/>
  <c r="C9" i="34"/>
  <c r="X8" i="34"/>
  <c r="D8" i="34"/>
  <c r="H5" i="34"/>
  <c r="X7" i="34"/>
  <c r="Q7" i="34"/>
  <c r="R7" i="34" s="1"/>
  <c r="D7" i="34"/>
  <c r="C7" i="34"/>
  <c r="D6" i="34"/>
  <c r="C6" i="34"/>
  <c r="M7" i="33"/>
  <c r="X117" i="31"/>
  <c r="X118" i="31"/>
  <c r="X119" i="31"/>
  <c r="X120" i="31"/>
  <c r="X121" i="31"/>
  <c r="X122" i="31"/>
  <c r="X123" i="31"/>
  <c r="X124" i="31"/>
  <c r="X125" i="31"/>
  <c r="X126" i="31"/>
  <c r="X127" i="31"/>
  <c r="X128" i="31"/>
  <c r="X107" i="31"/>
  <c r="X108" i="31"/>
  <c r="X109" i="31"/>
  <c r="X110" i="31"/>
  <c r="X111" i="31"/>
  <c r="X112" i="31"/>
  <c r="X113" i="31"/>
  <c r="X114" i="31"/>
  <c r="X115" i="31"/>
  <c r="X116" i="31"/>
  <c r="X87" i="31"/>
  <c r="X88" i="31"/>
  <c r="X89" i="31"/>
  <c r="X90" i="31"/>
  <c r="X91" i="31"/>
  <c r="X92" i="31"/>
  <c r="X93" i="31"/>
  <c r="X94" i="31"/>
  <c r="X95" i="31"/>
  <c r="X96" i="31"/>
  <c r="X97" i="31"/>
  <c r="X98" i="31"/>
  <c r="X99" i="31"/>
  <c r="X100" i="31"/>
  <c r="X101" i="31"/>
  <c r="X102" i="31"/>
  <c r="X103" i="31"/>
  <c r="X104" i="31"/>
  <c r="X105" i="31"/>
  <c r="X106" i="31"/>
  <c r="X73" i="31"/>
  <c r="X74" i="31"/>
  <c r="X75" i="31"/>
  <c r="X76" i="31"/>
  <c r="X77" i="31"/>
  <c r="X78" i="31"/>
  <c r="X79" i="31"/>
  <c r="X80" i="31"/>
  <c r="X81" i="31"/>
  <c r="X82" i="31"/>
  <c r="X83" i="31"/>
  <c r="X84" i="31"/>
  <c r="X85" i="31"/>
  <c r="X86" i="31"/>
  <c r="X67" i="31"/>
  <c r="X68" i="31"/>
  <c r="X69" i="31"/>
  <c r="X70" i="31"/>
  <c r="X71" i="31"/>
  <c r="X72" i="31"/>
  <c r="H24" i="38"/>
  <c r="W10" i="38"/>
  <c r="D90" i="38"/>
  <c r="D87" i="38"/>
  <c r="I90" i="38"/>
  <c r="I67" i="38"/>
  <c r="I69" i="38"/>
  <c r="V8" i="38"/>
  <c r="E19" i="38"/>
  <c r="C19" i="38" a="1"/>
  <c r="C19" i="38"/>
  <c r="D19" i="38"/>
  <c r="I74" i="38"/>
  <c r="I89" i="38"/>
  <c r="I88" i="38"/>
  <c r="D26" i="37"/>
  <c r="M27" i="37"/>
  <c r="D27" i="37"/>
  <c r="W9" i="37"/>
  <c r="E16" i="37"/>
  <c r="C25" i="37"/>
  <c r="I32" i="37"/>
  <c r="I89" i="36"/>
  <c r="I88" i="36"/>
  <c r="I74" i="36"/>
  <c r="G97" i="36"/>
  <c r="D125" i="36"/>
  <c r="E57" i="36"/>
  <c r="D65" i="36"/>
  <c r="D68" i="36"/>
  <c r="D67" i="36"/>
  <c r="D106" i="36"/>
  <c r="D107" i="36"/>
  <c r="D113" i="36"/>
  <c r="D116" i="36"/>
  <c r="D117" i="36"/>
  <c r="D118" i="36"/>
  <c r="Y7" i="36"/>
  <c r="W8" i="36"/>
  <c r="I72" i="36"/>
  <c r="I5" i="36"/>
  <c r="E18" i="36"/>
  <c r="E19" i="36"/>
  <c r="C27" i="36"/>
  <c r="I65" i="36"/>
  <c r="I67" i="36"/>
  <c r="I69" i="36"/>
  <c r="H24" i="36"/>
  <c r="H102" i="36"/>
  <c r="H104" i="36"/>
  <c r="I104" i="36"/>
  <c r="C9" i="35"/>
  <c r="U7" i="35"/>
  <c r="U8" i="35"/>
  <c r="U9" i="35"/>
  <c r="U10" i="35"/>
  <c r="U11" i="35"/>
  <c r="U12" i="35"/>
  <c r="U13" i="35"/>
  <c r="U14" i="35"/>
  <c r="U15" i="35"/>
  <c r="U16" i="35"/>
  <c r="U17" i="35"/>
  <c r="U18" i="35"/>
  <c r="U19" i="35"/>
  <c r="U20" i="35"/>
  <c r="U21" i="35"/>
  <c r="U22" i="35"/>
  <c r="U23" i="35"/>
  <c r="U24" i="35"/>
  <c r="U25" i="35"/>
  <c r="U26" i="35"/>
  <c r="U27" i="35"/>
  <c r="U28" i="35"/>
  <c r="U29" i="35"/>
  <c r="U30" i="35"/>
  <c r="U31" i="35"/>
  <c r="U32" i="35"/>
  <c r="U33" i="35"/>
  <c r="U34" i="35"/>
  <c r="U35" i="35"/>
  <c r="U36" i="35"/>
  <c r="U37" i="35"/>
  <c r="U38" i="35"/>
  <c r="U39" i="35"/>
  <c r="U40" i="35"/>
  <c r="U41" i="35"/>
  <c r="U42" i="35"/>
  <c r="U43" i="35"/>
  <c r="U44" i="35"/>
  <c r="U45" i="35"/>
  <c r="U46" i="35"/>
  <c r="U47" i="35"/>
  <c r="U48" i="35"/>
  <c r="U49" i="35"/>
  <c r="U50" i="35"/>
  <c r="U51" i="35"/>
  <c r="U52" i="35"/>
  <c r="U53" i="35"/>
  <c r="U54" i="35"/>
  <c r="U55" i="35"/>
  <c r="U56" i="35"/>
  <c r="U57" i="35"/>
  <c r="U58" i="35"/>
  <c r="U59" i="35"/>
  <c r="U60" i="35"/>
  <c r="U61" i="35"/>
  <c r="U62" i="35"/>
  <c r="U63" i="35"/>
  <c r="U64" i="35"/>
  <c r="U65" i="35"/>
  <c r="U66" i="35"/>
  <c r="D72" i="35"/>
  <c r="D48" i="35"/>
  <c r="D77" i="35"/>
  <c r="H16" i="35"/>
  <c r="D74" i="35"/>
  <c r="E56" i="35"/>
  <c r="D67" i="35"/>
  <c r="D75" i="35"/>
  <c r="D79" i="35"/>
  <c r="D81" i="35"/>
  <c r="D83" i="35"/>
  <c r="I17" i="35"/>
  <c r="C17" i="35"/>
  <c r="H17" i="35"/>
  <c r="D128" i="35"/>
  <c r="D135" i="35"/>
  <c r="D136" i="35"/>
  <c r="D137" i="35"/>
  <c r="D124" i="35"/>
  <c r="Y7" i="35"/>
  <c r="W8" i="35"/>
  <c r="M27" i="35"/>
  <c r="D27" i="35"/>
  <c r="D26" i="35"/>
  <c r="E17" i="35"/>
  <c r="H102" i="35"/>
  <c r="H104" i="35"/>
  <c r="I104" i="35"/>
  <c r="I72" i="35"/>
  <c r="I5" i="35"/>
  <c r="E14" i="35"/>
  <c r="I14" i="35"/>
  <c r="C14" i="35"/>
  <c r="H14" i="35"/>
  <c r="D106" i="35"/>
  <c r="D107" i="35"/>
  <c r="D113" i="35"/>
  <c r="C6" i="35"/>
  <c r="D112" i="35"/>
  <c r="D116" i="35"/>
  <c r="D117" i="35"/>
  <c r="D118" i="35"/>
  <c r="D29" i="35"/>
  <c r="C29" i="35"/>
  <c r="C15" i="35"/>
  <c r="H15" i="35"/>
  <c r="E15" i="35"/>
  <c r="I82" i="35"/>
  <c r="I84" i="35"/>
  <c r="I32" i="34"/>
  <c r="I83" i="34"/>
  <c r="D48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65" i="34"/>
  <c r="S66" i="34"/>
  <c r="E56" i="34"/>
  <c r="I57" i="34"/>
  <c r="W7" i="34"/>
  <c r="W8" i="34"/>
  <c r="H14" i="34"/>
  <c r="D74" i="34"/>
  <c r="I14" i="34"/>
  <c r="D49" i="34"/>
  <c r="U7" i="34"/>
  <c r="U8" i="34"/>
  <c r="U9" i="34"/>
  <c r="U10" i="34"/>
  <c r="U11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61" i="34"/>
  <c r="U62" i="34"/>
  <c r="U63" i="34"/>
  <c r="U64" i="34"/>
  <c r="U65" i="34"/>
  <c r="U66" i="34"/>
  <c r="D75" i="34"/>
  <c r="I5" i="34"/>
  <c r="I72" i="34"/>
  <c r="D79" i="34"/>
  <c r="D81" i="34"/>
  <c r="D83" i="34"/>
  <c r="E8" i="34"/>
  <c r="D29" i="34"/>
  <c r="C29" i="34"/>
  <c r="I16" i="34"/>
  <c r="E16" i="34"/>
  <c r="C16" i="34"/>
  <c r="H16" i="34"/>
  <c r="M40" i="34"/>
  <c r="D121" i="34"/>
  <c r="D123" i="34"/>
  <c r="D105" i="34"/>
  <c r="E15" i="34"/>
  <c r="C24" i="34"/>
  <c r="M27" i="34"/>
  <c r="D27" i="34"/>
  <c r="C27" i="34"/>
  <c r="D26" i="34"/>
  <c r="C26" i="34"/>
  <c r="I19" i="34"/>
  <c r="E57" i="34"/>
  <c r="D50" i="34"/>
  <c r="H102" i="34"/>
  <c r="H104" i="34"/>
  <c r="I104" i="34"/>
  <c r="E17" i="34"/>
  <c r="E14" i="34"/>
  <c r="I82" i="34"/>
  <c r="V7" i="34"/>
  <c r="N109" i="33"/>
  <c r="N108" i="33"/>
  <c r="P133" i="33"/>
  <c r="M114" i="33"/>
  <c r="M124" i="33"/>
  <c r="D113" i="33"/>
  <c r="M104" i="33"/>
  <c r="D102" i="33"/>
  <c r="H101" i="33"/>
  <c r="H100" i="33"/>
  <c r="D99" i="33"/>
  <c r="D98" i="33"/>
  <c r="D105" i="33"/>
  <c r="D106" i="33"/>
  <c r="D107" i="33"/>
  <c r="M94" i="33"/>
  <c r="X66" i="33"/>
  <c r="X65" i="33"/>
  <c r="T64" i="33"/>
  <c r="X64" i="33"/>
  <c r="X63" i="33"/>
  <c r="N63" i="33"/>
  <c r="X62" i="33"/>
  <c r="N62" i="33"/>
  <c r="X61" i="33"/>
  <c r="X60" i="33"/>
  <c r="X59" i="33"/>
  <c r="X58" i="33"/>
  <c r="X57" i="33"/>
  <c r="X56" i="33"/>
  <c r="X55" i="33"/>
  <c r="X54" i="33"/>
  <c r="X53" i="33"/>
  <c r="I53" i="33"/>
  <c r="D27" i="33"/>
  <c r="E18" i="33"/>
  <c r="C19" i="33"/>
  <c r="E53" i="33"/>
  <c r="T52" i="33"/>
  <c r="X52" i="33"/>
  <c r="I52" i="33"/>
  <c r="E52" i="33"/>
  <c r="D52" i="33"/>
  <c r="X51" i="33"/>
  <c r="I51" i="33"/>
  <c r="E51" i="33"/>
  <c r="D51" i="33"/>
  <c r="X50" i="33"/>
  <c r="I50" i="33"/>
  <c r="D24" i="33"/>
  <c r="C24" i="33"/>
  <c r="E50" i="33"/>
  <c r="X49" i="33"/>
  <c r="I49" i="33"/>
  <c r="D23" i="33"/>
  <c r="C23" i="33"/>
  <c r="E49" i="33"/>
  <c r="D49" i="33"/>
  <c r="X48" i="33"/>
  <c r="M48" i="33"/>
  <c r="D110" i="33"/>
  <c r="L48" i="33"/>
  <c r="I48" i="33"/>
  <c r="D48" i="33"/>
  <c r="E48" i="33"/>
  <c r="X47" i="33"/>
  <c r="M47" i="33"/>
  <c r="L47" i="33"/>
  <c r="X46" i="33"/>
  <c r="M46" i="33"/>
  <c r="D111" i="33"/>
  <c r="L46" i="33"/>
  <c r="E46" i="33"/>
  <c r="X45" i="33"/>
  <c r="M45" i="33"/>
  <c r="D112" i="33"/>
  <c r="D116" i="33"/>
  <c r="D117" i="33"/>
  <c r="D118" i="33"/>
  <c r="L45" i="33"/>
  <c r="E45" i="33"/>
  <c r="X44" i="33"/>
  <c r="M44" i="33"/>
  <c r="L44" i="33"/>
  <c r="X43" i="33"/>
  <c r="M43" i="33"/>
  <c r="L43" i="33"/>
  <c r="E43" i="33"/>
  <c r="X42" i="33"/>
  <c r="M42" i="33"/>
  <c r="L42" i="33"/>
  <c r="E42" i="33"/>
  <c r="X41" i="33"/>
  <c r="M41" i="33"/>
  <c r="L41" i="33"/>
  <c r="E41" i="33"/>
  <c r="I83" i="33"/>
  <c r="T40" i="33"/>
  <c r="X40" i="33"/>
  <c r="X39" i="33"/>
  <c r="E39" i="33"/>
  <c r="I82" i="33"/>
  <c r="X38" i="33"/>
  <c r="E38" i="33"/>
  <c r="X37" i="33"/>
  <c r="X36" i="33"/>
  <c r="X35" i="33"/>
  <c r="X34" i="33"/>
  <c r="X33" i="33"/>
  <c r="X32" i="33"/>
  <c r="M32" i="33"/>
  <c r="X31" i="33"/>
  <c r="M31" i="33"/>
  <c r="D31" i="33"/>
  <c r="X30" i="33"/>
  <c r="D30" i="33"/>
  <c r="C30" i="33"/>
  <c r="X29" i="33"/>
  <c r="M29" i="33"/>
  <c r="T28" i="33"/>
  <c r="X28" i="33"/>
  <c r="X27" i="33"/>
  <c r="X26" i="33"/>
  <c r="X25" i="33"/>
  <c r="M25" i="33"/>
  <c r="M26" i="33"/>
  <c r="X24" i="33"/>
  <c r="M24" i="33"/>
  <c r="X23" i="33"/>
  <c r="X22" i="33"/>
  <c r="D22" i="33"/>
  <c r="C22" i="33"/>
  <c r="X21" i="33"/>
  <c r="X20" i="33"/>
  <c r="X19" i="33"/>
  <c r="X18" i="33"/>
  <c r="D18" i="33"/>
  <c r="B18" i="33"/>
  <c r="T17" i="33"/>
  <c r="X17" i="33"/>
  <c r="D17" i="33"/>
  <c r="C17" i="33"/>
  <c r="B17" i="33"/>
  <c r="X16" i="33"/>
  <c r="D16" i="33"/>
  <c r="B16" i="33"/>
  <c r="X15" i="33"/>
  <c r="D15" i="33"/>
  <c r="X14" i="33"/>
  <c r="D14" i="33"/>
  <c r="I14" i="33"/>
  <c r="C14" i="33"/>
  <c r="H14" i="33"/>
  <c r="B14" i="33"/>
  <c r="X13" i="33"/>
  <c r="X12" i="33"/>
  <c r="X11" i="33"/>
  <c r="X10" i="33"/>
  <c r="D10" i="33"/>
  <c r="X9" i="33"/>
  <c r="D9" i="33"/>
  <c r="E9" i="33"/>
  <c r="C9" i="33"/>
  <c r="X8" i="33"/>
  <c r="D8" i="33"/>
  <c r="E8" i="33"/>
  <c r="X7" i="33"/>
  <c r="V7" i="33"/>
  <c r="Q7" i="33"/>
  <c r="Q8" i="33" s="1"/>
  <c r="N7" i="33"/>
  <c r="D7" i="33"/>
  <c r="C7" i="33"/>
  <c r="M6" i="33"/>
  <c r="D6" i="33"/>
  <c r="C6" i="33"/>
  <c r="D15" i="31"/>
  <c r="C15" i="31"/>
  <c r="M24" i="31"/>
  <c r="M25" i="31"/>
  <c r="M26" i="31"/>
  <c r="M27" i="31"/>
  <c r="D22" i="31"/>
  <c r="M32" i="31"/>
  <c r="M31" i="31"/>
  <c r="M29" i="31"/>
  <c r="H5" i="32"/>
  <c r="C19" i="32" a="1"/>
  <c r="C19" i="32"/>
  <c r="D112" i="32"/>
  <c r="D111" i="32"/>
  <c r="D110" i="32"/>
  <c r="D102" i="32"/>
  <c r="H101" i="32"/>
  <c r="H100" i="32"/>
  <c r="D98" i="32"/>
  <c r="M94" i="32"/>
  <c r="X66" i="32"/>
  <c r="X65" i="32"/>
  <c r="T64" i="32"/>
  <c r="X64" i="32"/>
  <c r="X63" i="32"/>
  <c r="X62" i="32"/>
  <c r="X61" i="32"/>
  <c r="X60" i="32"/>
  <c r="X59" i="32"/>
  <c r="X58" i="32"/>
  <c r="X57" i="32"/>
  <c r="X56" i="32"/>
  <c r="X55" i="32"/>
  <c r="X54" i="32"/>
  <c r="X53" i="32"/>
  <c r="I53" i="32"/>
  <c r="D53" i="32"/>
  <c r="E53" i="32"/>
  <c r="X52" i="32"/>
  <c r="T52" i="32"/>
  <c r="I52" i="32"/>
  <c r="E52" i="32"/>
  <c r="D52" i="32"/>
  <c r="X51" i="32"/>
  <c r="I51" i="32"/>
  <c r="D51" i="32"/>
  <c r="E51" i="32"/>
  <c r="X50" i="32"/>
  <c r="I50" i="32"/>
  <c r="E50" i="32"/>
  <c r="I15" i="32"/>
  <c r="D50" i="32"/>
  <c r="X49" i="32"/>
  <c r="I49" i="32"/>
  <c r="E49" i="32"/>
  <c r="X48" i="32"/>
  <c r="M48" i="32"/>
  <c r="L48" i="32"/>
  <c r="I48" i="32"/>
  <c r="E48" i="32"/>
  <c r="D48" i="32"/>
  <c r="X47" i="32"/>
  <c r="M47" i="32"/>
  <c r="L47" i="32"/>
  <c r="X46" i="32"/>
  <c r="M46" i="32"/>
  <c r="L46" i="32"/>
  <c r="E46" i="32"/>
  <c r="X45" i="32"/>
  <c r="M45" i="32"/>
  <c r="L45" i="32"/>
  <c r="E45" i="32"/>
  <c r="X44" i="32"/>
  <c r="M44" i="32"/>
  <c r="D29" i="32"/>
  <c r="C29" i="32"/>
  <c r="L44" i="32"/>
  <c r="X43" i="32"/>
  <c r="M43" i="32"/>
  <c r="D99" i="32"/>
  <c r="L43" i="32"/>
  <c r="E43" i="32"/>
  <c r="X42" i="32"/>
  <c r="M42" i="32"/>
  <c r="L42" i="32"/>
  <c r="E42" i="32"/>
  <c r="U7" i="32"/>
  <c r="U8" i="32"/>
  <c r="U9" i="32"/>
  <c r="U10" i="32"/>
  <c r="U11" i="32"/>
  <c r="U12" i="32"/>
  <c r="U13" i="32"/>
  <c r="U14" i="32"/>
  <c r="U15" i="32"/>
  <c r="U16" i="32"/>
  <c r="U17" i="32"/>
  <c r="U18" i="32"/>
  <c r="U19" i="32"/>
  <c r="U20" i="32"/>
  <c r="U21" i="32"/>
  <c r="U22" i="32"/>
  <c r="U23" i="32"/>
  <c r="U24" i="32"/>
  <c r="U25" i="32"/>
  <c r="U26" i="32"/>
  <c r="U27" i="32"/>
  <c r="U28" i="32"/>
  <c r="U29" i="32"/>
  <c r="U30" i="32"/>
  <c r="U31" i="32"/>
  <c r="U32" i="32"/>
  <c r="U33" i="32"/>
  <c r="U34" i="32"/>
  <c r="U35" i="32"/>
  <c r="U36" i="32"/>
  <c r="U37" i="32"/>
  <c r="U38" i="32"/>
  <c r="U39" i="32"/>
  <c r="U40" i="32"/>
  <c r="U41" i="32"/>
  <c r="U42" i="32"/>
  <c r="U43" i="32"/>
  <c r="U44" i="32"/>
  <c r="U45" i="32"/>
  <c r="U46" i="32"/>
  <c r="U47" i="32"/>
  <c r="U48" i="32"/>
  <c r="U49" i="32"/>
  <c r="U50" i="32"/>
  <c r="U51" i="32"/>
  <c r="U52" i="32"/>
  <c r="U53" i="32"/>
  <c r="U54" i="32"/>
  <c r="U55" i="32"/>
  <c r="U56" i="32"/>
  <c r="U57" i="32"/>
  <c r="U58" i="32"/>
  <c r="U59" i="32"/>
  <c r="U60" i="32"/>
  <c r="U61" i="32"/>
  <c r="U62" i="32"/>
  <c r="U63" i="32"/>
  <c r="U64" i="32"/>
  <c r="U65" i="32"/>
  <c r="U66" i="32"/>
  <c r="X41" i="32"/>
  <c r="M41" i="32"/>
  <c r="M40" i="32"/>
  <c r="D121" i="32"/>
  <c r="D123" i="32"/>
  <c r="L41" i="32"/>
  <c r="E41" i="32"/>
  <c r="I83" i="32"/>
  <c r="T40" i="32"/>
  <c r="X40" i="32"/>
  <c r="X39" i="32"/>
  <c r="E39" i="32"/>
  <c r="X38" i="32"/>
  <c r="E38" i="32"/>
  <c r="X37" i="32"/>
  <c r="X36" i="32"/>
  <c r="X35" i="32"/>
  <c r="X34" i="32"/>
  <c r="X33" i="32"/>
  <c r="X32" i="32"/>
  <c r="M32" i="32"/>
  <c r="X31" i="32"/>
  <c r="M31" i="32"/>
  <c r="D31" i="32"/>
  <c r="X30" i="32"/>
  <c r="M30" i="32"/>
  <c r="D30" i="32"/>
  <c r="C30" i="32"/>
  <c r="X29" i="32"/>
  <c r="M29" i="32"/>
  <c r="D23" i="32"/>
  <c r="T28" i="32"/>
  <c r="X28" i="32"/>
  <c r="X27" i="32"/>
  <c r="X26" i="32"/>
  <c r="X25" i="32"/>
  <c r="X24" i="32"/>
  <c r="M24" i="32"/>
  <c r="M25" i="32"/>
  <c r="M26" i="32"/>
  <c r="M27" i="32"/>
  <c r="X23" i="32"/>
  <c r="X22" i="32"/>
  <c r="D22" i="32"/>
  <c r="C22" i="32"/>
  <c r="X21" i="32"/>
  <c r="X20" i="32"/>
  <c r="X19" i="32"/>
  <c r="X18" i="32"/>
  <c r="D18" i="32"/>
  <c r="C18" i="32"/>
  <c r="B18" i="32"/>
  <c r="T17" i="32"/>
  <c r="X17" i="32"/>
  <c r="D17" i="32"/>
  <c r="C17" i="32"/>
  <c r="H17" i="32"/>
  <c r="B17" i="32"/>
  <c r="X16" i="32"/>
  <c r="D16" i="32"/>
  <c r="I16" i="32"/>
  <c r="B16" i="32"/>
  <c r="X15" i="32"/>
  <c r="D15" i="32"/>
  <c r="C15" i="32"/>
  <c r="H15" i="32"/>
  <c r="B15" i="32"/>
  <c r="X14" i="32"/>
  <c r="D14" i="32"/>
  <c r="B14" i="32"/>
  <c r="X13" i="32"/>
  <c r="X12" i="32"/>
  <c r="X11" i="32"/>
  <c r="X10" i="32"/>
  <c r="D10" i="32"/>
  <c r="X9" i="32"/>
  <c r="D9" i="32"/>
  <c r="E9" i="32"/>
  <c r="C9" i="32"/>
  <c r="X8" i="32"/>
  <c r="D8" i="32"/>
  <c r="E8" i="32"/>
  <c r="X7" i="32"/>
  <c r="Q7" i="32"/>
  <c r="D7" i="32"/>
  <c r="C7" i="32"/>
  <c r="D6" i="32"/>
  <c r="I19" i="32"/>
  <c r="I75" i="38"/>
  <c r="I76" i="38"/>
  <c r="V9" i="38"/>
  <c r="W11" i="38"/>
  <c r="I74" i="37"/>
  <c r="I89" i="37"/>
  <c r="I88" i="37"/>
  <c r="H24" i="37"/>
  <c r="I65" i="37"/>
  <c r="W10" i="37"/>
  <c r="C27" i="37"/>
  <c r="E18" i="37"/>
  <c r="C26" i="37"/>
  <c r="E17" i="37"/>
  <c r="E19" i="37"/>
  <c r="V8" i="36"/>
  <c r="V9" i="36"/>
  <c r="V10" i="36"/>
  <c r="V11" i="36"/>
  <c r="V12" i="36"/>
  <c r="V13" i="36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4" i="36"/>
  <c r="V35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V57" i="36"/>
  <c r="V58" i="36"/>
  <c r="V59" i="36"/>
  <c r="V60" i="36"/>
  <c r="V61" i="36"/>
  <c r="V62" i="36"/>
  <c r="V63" i="36"/>
  <c r="V64" i="36"/>
  <c r="V65" i="36"/>
  <c r="V66" i="36"/>
  <c r="I90" i="36"/>
  <c r="D90" i="36"/>
  <c r="D87" i="36"/>
  <c r="W9" i="36"/>
  <c r="Y8" i="36"/>
  <c r="I75" i="36"/>
  <c r="I76" i="36"/>
  <c r="E57" i="35"/>
  <c r="D65" i="35"/>
  <c r="D68" i="35"/>
  <c r="D125" i="35"/>
  <c r="G97" i="35"/>
  <c r="W9" i="35"/>
  <c r="C19" i="35" a="1"/>
  <c r="C19" i="35"/>
  <c r="D19" i="35"/>
  <c r="C26" i="35"/>
  <c r="I32" i="35"/>
  <c r="C27" i="35"/>
  <c r="E18" i="35"/>
  <c r="E19" i="35"/>
  <c r="D65" i="34"/>
  <c r="D68" i="34"/>
  <c r="D67" i="34"/>
  <c r="I84" i="34"/>
  <c r="E18" i="34"/>
  <c r="D77" i="34"/>
  <c r="W9" i="34"/>
  <c r="D124" i="34"/>
  <c r="D128" i="34"/>
  <c r="D135" i="34"/>
  <c r="D136" i="34"/>
  <c r="D137" i="34"/>
  <c r="I74" i="34"/>
  <c r="I88" i="34"/>
  <c r="I89" i="34"/>
  <c r="C19" i="34" a="1"/>
  <c r="C19" i="34"/>
  <c r="D19" i="34"/>
  <c r="D106" i="34"/>
  <c r="D107" i="34"/>
  <c r="D113" i="34"/>
  <c r="D116" i="34"/>
  <c r="D117" i="34"/>
  <c r="D118" i="34"/>
  <c r="H24" i="34"/>
  <c r="I65" i="34"/>
  <c r="I67" i="34"/>
  <c r="I69" i="34"/>
  <c r="Y7" i="34"/>
  <c r="C18" i="33"/>
  <c r="H18" i="33"/>
  <c r="I18" i="33"/>
  <c r="D53" i="33"/>
  <c r="I57" i="32"/>
  <c r="W7" i="32"/>
  <c r="I15" i="33"/>
  <c r="D50" i="33"/>
  <c r="E15" i="33"/>
  <c r="D76" i="33"/>
  <c r="D59" i="33"/>
  <c r="C59" i="33"/>
  <c r="E56" i="33"/>
  <c r="E57" i="33"/>
  <c r="I84" i="33"/>
  <c r="I16" i="33"/>
  <c r="D72" i="33"/>
  <c r="D26" i="33"/>
  <c r="C26" i="33"/>
  <c r="M27" i="33"/>
  <c r="C27" i="33"/>
  <c r="E14" i="33"/>
  <c r="I32" i="33"/>
  <c r="N120" i="33"/>
  <c r="H102" i="33"/>
  <c r="H104" i="33"/>
  <c r="I104" i="33"/>
  <c r="D74" i="33"/>
  <c r="S7" i="33"/>
  <c r="S8" i="33"/>
  <c r="S9" i="33"/>
  <c r="S10" i="33"/>
  <c r="S11" i="33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62" i="33"/>
  <c r="S63" i="33"/>
  <c r="S64" i="33"/>
  <c r="S65" i="33"/>
  <c r="S66" i="33"/>
  <c r="U7" i="33"/>
  <c r="U8" i="33"/>
  <c r="U9" i="33"/>
  <c r="U10" i="33"/>
  <c r="U11" i="33"/>
  <c r="U12" i="33"/>
  <c r="U13" i="33"/>
  <c r="U14" i="33"/>
  <c r="U15" i="33"/>
  <c r="U16" i="33"/>
  <c r="U17" i="33"/>
  <c r="U18" i="33"/>
  <c r="U19" i="33"/>
  <c r="U20" i="33"/>
  <c r="U21" i="33"/>
  <c r="U22" i="33"/>
  <c r="U23" i="33"/>
  <c r="U24" i="33"/>
  <c r="U25" i="33"/>
  <c r="U26" i="33"/>
  <c r="U27" i="33"/>
  <c r="U28" i="33"/>
  <c r="U29" i="33"/>
  <c r="U30" i="33"/>
  <c r="U31" i="33"/>
  <c r="U32" i="33"/>
  <c r="U33" i="33"/>
  <c r="U34" i="33"/>
  <c r="U35" i="33"/>
  <c r="U36" i="33"/>
  <c r="U37" i="33"/>
  <c r="U38" i="33"/>
  <c r="U39" i="33"/>
  <c r="U40" i="33"/>
  <c r="U41" i="33"/>
  <c r="U42" i="33"/>
  <c r="U43" i="33"/>
  <c r="U44" i="33"/>
  <c r="U45" i="33"/>
  <c r="U46" i="33"/>
  <c r="U47" i="33"/>
  <c r="U48" i="33"/>
  <c r="U49" i="33"/>
  <c r="U50" i="33"/>
  <c r="U51" i="33"/>
  <c r="U52" i="33"/>
  <c r="U53" i="33"/>
  <c r="U54" i="33"/>
  <c r="U55" i="33"/>
  <c r="U56" i="33"/>
  <c r="U57" i="33"/>
  <c r="U58" i="33"/>
  <c r="U59" i="33"/>
  <c r="U60" i="33"/>
  <c r="U61" i="33"/>
  <c r="U62" i="33"/>
  <c r="U63" i="33"/>
  <c r="U64" i="33"/>
  <c r="U65" i="33"/>
  <c r="U66" i="33"/>
  <c r="H17" i="33"/>
  <c r="I57" i="33"/>
  <c r="W7" i="33"/>
  <c r="M40" i="33"/>
  <c r="D121" i="33"/>
  <c r="D123" i="33"/>
  <c r="I17" i="33"/>
  <c r="D25" i="33"/>
  <c r="C25" i="33"/>
  <c r="D29" i="33"/>
  <c r="C29" i="33"/>
  <c r="C16" i="33"/>
  <c r="H16" i="33"/>
  <c r="E17" i="33"/>
  <c r="C15" i="33"/>
  <c r="H15" i="33"/>
  <c r="E16" i="33"/>
  <c r="D27" i="32"/>
  <c r="C27" i="32"/>
  <c r="S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0" i="32"/>
  <c r="S41" i="32"/>
  <c r="S42" i="32"/>
  <c r="S43" i="32"/>
  <c r="S44" i="32"/>
  <c r="S45" i="32"/>
  <c r="S46" i="32"/>
  <c r="S47" i="32"/>
  <c r="S48" i="32"/>
  <c r="S49" i="32"/>
  <c r="S50" i="32"/>
  <c r="S51" i="32"/>
  <c r="S52" i="32"/>
  <c r="S53" i="32"/>
  <c r="S54" i="32"/>
  <c r="S55" i="32"/>
  <c r="S56" i="32"/>
  <c r="S57" i="32"/>
  <c r="S58" i="32"/>
  <c r="S59" i="32"/>
  <c r="S60" i="32"/>
  <c r="S61" i="32"/>
  <c r="S62" i="32"/>
  <c r="S63" i="32"/>
  <c r="S64" i="32"/>
  <c r="S65" i="32"/>
  <c r="S66" i="32"/>
  <c r="D74" i="32"/>
  <c r="D24" i="32"/>
  <c r="C24" i="32"/>
  <c r="D26" i="32"/>
  <c r="C26" i="32"/>
  <c r="D25" i="32"/>
  <c r="E15" i="32"/>
  <c r="C23" i="32"/>
  <c r="E17" i="32"/>
  <c r="E14" i="32"/>
  <c r="I17" i="32"/>
  <c r="D105" i="32"/>
  <c r="D128" i="32"/>
  <c r="D135" i="32"/>
  <c r="D136" i="32"/>
  <c r="D137" i="32"/>
  <c r="D124" i="32"/>
  <c r="C16" i="32"/>
  <c r="H16" i="32"/>
  <c r="D72" i="32"/>
  <c r="E56" i="32"/>
  <c r="V7" i="32"/>
  <c r="I82" i="32"/>
  <c r="I84" i="32"/>
  <c r="W8" i="32"/>
  <c r="C6" i="32"/>
  <c r="D75" i="32"/>
  <c r="C14" i="32"/>
  <c r="H14" i="32"/>
  <c r="D49" i="32"/>
  <c r="I14" i="32"/>
  <c r="W12" i="38"/>
  <c r="V10" i="38"/>
  <c r="C19" i="37" a="1"/>
  <c r="C19" i="37"/>
  <c r="D19" i="37"/>
  <c r="D90" i="37"/>
  <c r="D87" i="37"/>
  <c r="I90" i="37"/>
  <c r="I76" i="37"/>
  <c r="I75" i="37"/>
  <c r="I67" i="37"/>
  <c r="I69" i="37"/>
  <c r="V8" i="37"/>
  <c r="W11" i="37"/>
  <c r="W10" i="36"/>
  <c r="Y9" i="36"/>
  <c r="I74" i="35"/>
  <c r="I89" i="35"/>
  <c r="I88" i="35"/>
  <c r="H24" i="35"/>
  <c r="I65" i="35"/>
  <c r="W10" i="35"/>
  <c r="I90" i="34"/>
  <c r="D90" i="34"/>
  <c r="D87" i="34"/>
  <c r="I76" i="34"/>
  <c r="I75" i="34"/>
  <c r="D125" i="34"/>
  <c r="G97" i="34"/>
  <c r="W10" i="34"/>
  <c r="V8" i="34"/>
  <c r="D79" i="32"/>
  <c r="D81" i="32"/>
  <c r="D83" i="32"/>
  <c r="I32" i="32"/>
  <c r="H24" i="32"/>
  <c r="E18" i="32"/>
  <c r="Y7" i="32"/>
  <c r="D78" i="33"/>
  <c r="D80" i="33"/>
  <c r="D82" i="33"/>
  <c r="Y7" i="33"/>
  <c r="W8" i="33"/>
  <c r="D19" i="33"/>
  <c r="D124" i="33"/>
  <c r="D128" i="33"/>
  <c r="D135" i="33"/>
  <c r="D136" i="33"/>
  <c r="D137" i="33"/>
  <c r="O6" i="33"/>
  <c r="D65" i="33"/>
  <c r="D68" i="33"/>
  <c r="E19" i="33" a="1"/>
  <c r="E19" i="33"/>
  <c r="D67" i="33"/>
  <c r="C25" i="32"/>
  <c r="E16" i="32"/>
  <c r="D19" i="32"/>
  <c r="I65" i="32"/>
  <c r="I67" i="32"/>
  <c r="I69" i="32"/>
  <c r="D90" i="32"/>
  <c r="D87" i="32"/>
  <c r="W9" i="32"/>
  <c r="D125" i="32"/>
  <c r="G97" i="32"/>
  <c r="D77" i="32"/>
  <c r="H102" i="32"/>
  <c r="H104" i="32"/>
  <c r="I104" i="32"/>
  <c r="D106" i="32"/>
  <c r="D107" i="32"/>
  <c r="D113" i="32"/>
  <c r="D116" i="32"/>
  <c r="D117" i="32"/>
  <c r="D118" i="32"/>
  <c r="D67" i="32"/>
  <c r="E57" i="32"/>
  <c r="D65" i="32"/>
  <c r="D68" i="32"/>
  <c r="V11" i="38"/>
  <c r="W13" i="38"/>
  <c r="V9" i="37"/>
  <c r="Y8" i="37"/>
  <c r="W12" i="37"/>
  <c r="W11" i="36"/>
  <c r="Y10" i="36"/>
  <c r="W11" i="35"/>
  <c r="I90" i="35"/>
  <c r="D90" i="35"/>
  <c r="D87" i="35"/>
  <c r="I67" i="35"/>
  <c r="I69" i="35"/>
  <c r="V8" i="35"/>
  <c r="I76" i="35"/>
  <c r="I75" i="35"/>
  <c r="V9" i="34"/>
  <c r="Y8" i="34"/>
  <c r="W11" i="34"/>
  <c r="D125" i="33"/>
  <c r="G97" i="33"/>
  <c r="I19" i="33"/>
  <c r="H5" i="33"/>
  <c r="W9" i="33"/>
  <c r="I88" i="32"/>
  <c r="I89" i="32"/>
  <c r="I74" i="32"/>
  <c r="I76" i="32"/>
  <c r="I90" i="32"/>
  <c r="I72" i="32"/>
  <c r="I5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W10" i="32"/>
  <c r="Y8" i="32"/>
  <c r="W14" i="38"/>
  <c r="V12" i="38"/>
  <c r="W13" i="37"/>
  <c r="V10" i="37"/>
  <c r="Y9" i="37"/>
  <c r="W12" i="36"/>
  <c r="Y11" i="36"/>
  <c r="V9" i="35"/>
  <c r="Y8" i="35"/>
  <c r="W12" i="35"/>
  <c r="W12" i="34"/>
  <c r="V10" i="34"/>
  <c r="Y9" i="34"/>
  <c r="I75" i="32"/>
  <c r="W10" i="33"/>
  <c r="I72" i="33"/>
  <c r="I5" i="33"/>
  <c r="I89" i="33"/>
  <c r="I88" i="33"/>
  <c r="I74" i="33"/>
  <c r="I65" i="33"/>
  <c r="H24" i="33"/>
  <c r="Y9" i="32"/>
  <c r="Y10" i="32"/>
  <c r="W11" i="32"/>
  <c r="V13" i="38"/>
  <c r="W15" i="38"/>
  <c r="V11" i="37"/>
  <c r="Y10" i="37"/>
  <c r="W14" i="37"/>
  <c r="W13" i="36"/>
  <c r="Y12" i="36"/>
  <c r="W13" i="35"/>
  <c r="V10" i="35"/>
  <c r="Y9" i="35"/>
  <c r="V11" i="34"/>
  <c r="Y10" i="34"/>
  <c r="W13" i="34"/>
  <c r="I90" i="33"/>
  <c r="D89" i="33"/>
  <c r="D86" i="33"/>
  <c r="I75" i="33"/>
  <c r="I76" i="33"/>
  <c r="W11" i="33"/>
  <c r="I67" i="33"/>
  <c r="I69" i="33"/>
  <c r="V8" i="33"/>
  <c r="W12" i="32"/>
  <c r="Y11" i="32"/>
  <c r="W16" i="38"/>
  <c r="V14" i="38"/>
  <c r="W15" i="37"/>
  <c r="V12" i="37"/>
  <c r="Y11" i="37"/>
  <c r="W14" i="36"/>
  <c r="Y13" i="36"/>
  <c r="V11" i="35"/>
  <c r="Y10" i="35"/>
  <c r="W14" i="35"/>
  <c r="W14" i="34"/>
  <c r="V12" i="34"/>
  <c r="Y11" i="34"/>
  <c r="W12" i="33"/>
  <c r="V9" i="33"/>
  <c r="Y8" i="33"/>
  <c r="Y12" i="32"/>
  <c r="W13" i="32"/>
  <c r="V15" i="38"/>
  <c r="W17" i="38"/>
  <c r="W16" i="37"/>
  <c r="V13" i="37"/>
  <c r="Y12" i="37"/>
  <c r="Y14" i="36"/>
  <c r="W15" i="36"/>
  <c r="W15" i="35"/>
  <c r="V12" i="35"/>
  <c r="Y11" i="35"/>
  <c r="W15" i="34"/>
  <c r="V13" i="34"/>
  <c r="Y12" i="34"/>
  <c r="V10" i="33"/>
  <c r="Y9" i="33"/>
  <c r="W13" i="33"/>
  <c r="W14" i="32"/>
  <c r="Y13" i="32"/>
  <c r="W18" i="38"/>
  <c r="V16" i="38"/>
  <c r="V14" i="37"/>
  <c r="Y13" i="37"/>
  <c r="W17" i="37"/>
  <c r="W16" i="36"/>
  <c r="Y15" i="36"/>
  <c r="V13" i="35"/>
  <c r="Y12" i="35"/>
  <c r="W16" i="35"/>
  <c r="V14" i="34"/>
  <c r="Y13" i="34"/>
  <c r="W16" i="34"/>
  <c r="W14" i="33"/>
  <c r="V11" i="33"/>
  <c r="Y10" i="33"/>
  <c r="W15" i="32"/>
  <c r="Y14" i="32"/>
  <c r="V17" i="38"/>
  <c r="W19" i="38"/>
  <c r="W18" i="37"/>
  <c r="V15" i="37"/>
  <c r="Y14" i="37"/>
  <c r="Y16" i="36"/>
  <c r="W17" i="36"/>
  <c r="W17" i="35"/>
  <c r="V14" i="35"/>
  <c r="Y13" i="35"/>
  <c r="W17" i="34"/>
  <c r="V15" i="34"/>
  <c r="Y14" i="34"/>
  <c r="V12" i="33"/>
  <c r="Y11" i="33"/>
  <c r="W15" i="33"/>
  <c r="W16" i="32"/>
  <c r="Y15" i="32"/>
  <c r="W20" i="38"/>
  <c r="V18" i="38"/>
  <c r="V16" i="37"/>
  <c r="Y15" i="37"/>
  <c r="W19" i="37"/>
  <c r="Y17" i="36"/>
  <c r="W18" i="36"/>
  <c r="V15" i="35"/>
  <c r="Y14" i="35"/>
  <c r="W18" i="35"/>
  <c r="V16" i="34"/>
  <c r="Y15" i="34"/>
  <c r="W18" i="34"/>
  <c r="W16" i="33"/>
  <c r="V13" i="33"/>
  <c r="Y12" i="33"/>
  <c r="Y16" i="32"/>
  <c r="W17" i="32"/>
  <c r="V19" i="38"/>
  <c r="W21" i="38"/>
  <c r="W20" i="37"/>
  <c r="V17" i="37"/>
  <c r="Y16" i="37"/>
  <c r="Y18" i="36"/>
  <c r="W19" i="36"/>
  <c r="W19" i="35"/>
  <c r="V16" i="35"/>
  <c r="Y15" i="35"/>
  <c r="W19" i="34"/>
  <c r="V17" i="34"/>
  <c r="Y16" i="34"/>
  <c r="V14" i="33"/>
  <c r="Y13" i="33"/>
  <c r="W17" i="33"/>
  <c r="Y17" i="32"/>
  <c r="W18" i="32"/>
  <c r="W22" i="38"/>
  <c r="V20" i="38"/>
  <c r="V18" i="37"/>
  <c r="Y17" i="37"/>
  <c r="W21" i="37"/>
  <c r="W20" i="36"/>
  <c r="Y19" i="36"/>
  <c r="V17" i="35"/>
  <c r="Y16" i="35"/>
  <c r="W20" i="35"/>
  <c r="W20" i="34"/>
  <c r="V18" i="34"/>
  <c r="Y17" i="34"/>
  <c r="W18" i="33"/>
  <c r="V15" i="33"/>
  <c r="Y14" i="33"/>
  <c r="Y18" i="32"/>
  <c r="W19" i="32"/>
  <c r="V21" i="38"/>
  <c r="W23" i="38"/>
  <c r="W22" i="37"/>
  <c r="V19" i="37"/>
  <c r="Y18" i="37"/>
  <c r="Y20" i="36"/>
  <c r="W21" i="36"/>
  <c r="W21" i="35"/>
  <c r="V18" i="35"/>
  <c r="Y17" i="35"/>
  <c r="V19" i="34"/>
  <c r="Y18" i="34"/>
  <c r="W21" i="34"/>
  <c r="V16" i="33"/>
  <c r="Y15" i="33"/>
  <c r="W19" i="33"/>
  <c r="W20" i="32"/>
  <c r="Y19" i="32"/>
  <c r="W24" i="38"/>
  <c r="V22" i="38"/>
  <c r="V20" i="37"/>
  <c r="Y19" i="37"/>
  <c r="W23" i="37"/>
  <c r="W22" i="36"/>
  <c r="Y21" i="36"/>
  <c r="V19" i="35"/>
  <c r="Y18" i="35"/>
  <c r="W22" i="35"/>
  <c r="W22" i="34"/>
  <c r="V20" i="34"/>
  <c r="Y19" i="34"/>
  <c r="W20" i="33"/>
  <c r="V17" i="33"/>
  <c r="Y16" i="33"/>
  <c r="Y20" i="32"/>
  <c r="W21" i="32"/>
  <c r="V23" i="38"/>
  <c r="W25" i="38"/>
  <c r="W24" i="37"/>
  <c r="V21" i="37"/>
  <c r="Y20" i="37"/>
  <c r="W23" i="36"/>
  <c r="Y22" i="36"/>
  <c r="W23" i="35"/>
  <c r="V20" i="35"/>
  <c r="Y19" i="35"/>
  <c r="W23" i="34"/>
  <c r="V21" i="34"/>
  <c r="Y20" i="34"/>
  <c r="V18" i="33"/>
  <c r="Y17" i="33"/>
  <c r="W21" i="33"/>
  <c r="W22" i="32"/>
  <c r="Y21" i="32"/>
  <c r="W26" i="38"/>
  <c r="V24" i="38"/>
  <c r="V22" i="37"/>
  <c r="Y21" i="37"/>
  <c r="W25" i="37"/>
  <c r="Y23" i="36"/>
  <c r="W24" i="36"/>
  <c r="V21" i="35"/>
  <c r="Y20" i="35"/>
  <c r="W24" i="35"/>
  <c r="V22" i="34"/>
  <c r="Y21" i="34"/>
  <c r="W24" i="34"/>
  <c r="W22" i="33"/>
  <c r="V19" i="33"/>
  <c r="Y18" i="33"/>
  <c r="W23" i="32"/>
  <c r="Y22" i="32"/>
  <c r="V25" i="38"/>
  <c r="W27" i="38"/>
  <c r="W26" i="37"/>
  <c r="V23" i="37"/>
  <c r="Y22" i="37"/>
  <c r="W25" i="36"/>
  <c r="Y24" i="36"/>
  <c r="W25" i="35"/>
  <c r="V22" i="35"/>
  <c r="Y21" i="35"/>
  <c r="V23" i="34"/>
  <c r="Y22" i="34"/>
  <c r="W25" i="34"/>
  <c r="V20" i="33"/>
  <c r="Y19" i="33"/>
  <c r="W23" i="33"/>
  <c r="Y23" i="32"/>
  <c r="W24" i="32"/>
  <c r="W28" i="38"/>
  <c r="V26" i="38"/>
  <c r="V24" i="37"/>
  <c r="Y23" i="37"/>
  <c r="W27" i="37"/>
  <c r="Y25" i="36"/>
  <c r="W26" i="36"/>
  <c r="V23" i="35"/>
  <c r="Y22" i="35"/>
  <c r="W26" i="35"/>
  <c r="W26" i="34"/>
  <c r="V24" i="34"/>
  <c r="Y23" i="34"/>
  <c r="W24" i="33"/>
  <c r="V21" i="33"/>
  <c r="Y20" i="33"/>
  <c r="W25" i="32"/>
  <c r="Y24" i="32"/>
  <c r="V27" i="38"/>
  <c r="W29" i="38"/>
  <c r="W28" i="37"/>
  <c r="V25" i="37"/>
  <c r="Y24" i="37"/>
  <c r="Y26" i="36"/>
  <c r="W27" i="36"/>
  <c r="W27" i="35"/>
  <c r="V24" i="35"/>
  <c r="Y23" i="35"/>
  <c r="W27" i="34"/>
  <c r="V25" i="34"/>
  <c r="Y24" i="34"/>
  <c r="V22" i="33"/>
  <c r="Y21" i="33"/>
  <c r="W25" i="33"/>
  <c r="W26" i="32"/>
  <c r="Y25" i="32"/>
  <c r="W30" i="38"/>
  <c r="V28" i="38"/>
  <c r="V26" i="37"/>
  <c r="Y25" i="37"/>
  <c r="W29" i="37"/>
  <c r="W28" i="36"/>
  <c r="Y27" i="36"/>
  <c r="V25" i="35"/>
  <c r="Y24" i="35"/>
  <c r="W28" i="35"/>
  <c r="V26" i="34"/>
  <c r="Y25" i="34"/>
  <c r="W28" i="34"/>
  <c r="W26" i="33"/>
  <c r="V23" i="33"/>
  <c r="Y22" i="33"/>
  <c r="Y26" i="32"/>
  <c r="W27" i="32"/>
  <c r="W31" i="38"/>
  <c r="V29" i="38"/>
  <c r="W30" i="37"/>
  <c r="V27" i="37"/>
  <c r="Y26" i="37"/>
  <c r="Y28" i="36"/>
  <c r="W29" i="36"/>
  <c r="W29" i="35"/>
  <c r="V26" i="35"/>
  <c r="Y25" i="35"/>
  <c r="W29" i="34"/>
  <c r="V27" i="34"/>
  <c r="Y26" i="34"/>
  <c r="V24" i="33"/>
  <c r="Y23" i="33"/>
  <c r="W27" i="33"/>
  <c r="W28" i="32"/>
  <c r="Y27" i="32"/>
  <c r="M114" i="31"/>
  <c r="M94" i="31"/>
  <c r="V30" i="38"/>
  <c r="W32" i="38"/>
  <c r="V28" i="37"/>
  <c r="Y27" i="37"/>
  <c r="W31" i="37"/>
  <c r="Y29" i="36"/>
  <c r="W30" i="36"/>
  <c r="V27" i="35"/>
  <c r="Y26" i="35"/>
  <c r="W30" i="35"/>
  <c r="V28" i="34"/>
  <c r="Y27" i="34"/>
  <c r="W30" i="34"/>
  <c r="W28" i="33"/>
  <c r="V25" i="33"/>
  <c r="Y24" i="33"/>
  <c r="W29" i="32"/>
  <c r="Y28" i="32"/>
  <c r="N62" i="31"/>
  <c r="N63" i="31"/>
  <c r="P133" i="31"/>
  <c r="W33" i="38"/>
  <c r="V31" i="38"/>
  <c r="W32" i="37"/>
  <c r="V29" i="37"/>
  <c r="Y28" i="37"/>
  <c r="W31" i="36"/>
  <c r="Y30" i="36"/>
  <c r="W31" i="35"/>
  <c r="V28" i="35"/>
  <c r="Y27" i="35"/>
  <c r="W31" i="34"/>
  <c r="V29" i="34"/>
  <c r="Y28" i="34"/>
  <c r="V26" i="33"/>
  <c r="Y25" i="33"/>
  <c r="W29" i="33"/>
  <c r="Y29" i="32"/>
  <c r="W30" i="32"/>
  <c r="M104" i="31"/>
  <c r="W34" i="38"/>
  <c r="V32" i="38"/>
  <c r="V30" i="37"/>
  <c r="Y29" i="37"/>
  <c r="W33" i="37"/>
  <c r="Y31" i="36"/>
  <c r="W32" i="36"/>
  <c r="V29" i="35"/>
  <c r="Y28" i="35"/>
  <c r="W32" i="35"/>
  <c r="V30" i="34"/>
  <c r="Y29" i="34"/>
  <c r="W32" i="34"/>
  <c r="W30" i="33"/>
  <c r="V27" i="33"/>
  <c r="Y26" i="33"/>
  <c r="W31" i="32"/>
  <c r="Y30" i="32"/>
  <c r="N7" i="31"/>
  <c r="M7" i="31"/>
  <c r="M6" i="31"/>
  <c r="W35" i="38"/>
  <c r="V33" i="38"/>
  <c r="W34" i="37"/>
  <c r="V31" i="37"/>
  <c r="Y30" i="37"/>
  <c r="W33" i="36"/>
  <c r="Y32" i="36"/>
  <c r="W33" i="35"/>
  <c r="V30" i="35"/>
  <c r="Y29" i="35"/>
  <c r="W33" i="34"/>
  <c r="V31" i="34"/>
  <c r="Y30" i="34"/>
  <c r="V28" i="33"/>
  <c r="Y27" i="33"/>
  <c r="W31" i="33"/>
  <c r="W32" i="32"/>
  <c r="Y31" i="32"/>
  <c r="D112" i="31"/>
  <c r="D111" i="31"/>
  <c r="H101" i="31"/>
  <c r="H100" i="31"/>
  <c r="X66" i="31"/>
  <c r="X65" i="31"/>
  <c r="T64" i="31"/>
  <c r="X64" i="31"/>
  <c r="X63" i="31"/>
  <c r="X62" i="31"/>
  <c r="X61" i="31"/>
  <c r="X60" i="31"/>
  <c r="X59" i="31"/>
  <c r="X58" i="31"/>
  <c r="X57" i="31"/>
  <c r="X56" i="31"/>
  <c r="X55" i="31"/>
  <c r="X54" i="31"/>
  <c r="X53" i="31"/>
  <c r="I53" i="31"/>
  <c r="D27" i="31"/>
  <c r="C27" i="31"/>
  <c r="E53" i="31"/>
  <c r="T52" i="31"/>
  <c r="X52" i="31"/>
  <c r="I52" i="31"/>
  <c r="D26" i="31"/>
  <c r="C26" i="31"/>
  <c r="E52" i="31"/>
  <c r="D52" i="31"/>
  <c r="X51" i="31"/>
  <c r="I51" i="31"/>
  <c r="E51" i="31"/>
  <c r="X50" i="31"/>
  <c r="I50" i="31"/>
  <c r="D24" i="31"/>
  <c r="C24" i="31"/>
  <c r="E50" i="31"/>
  <c r="X49" i="31"/>
  <c r="I49" i="31"/>
  <c r="D23" i="31"/>
  <c r="E49" i="31"/>
  <c r="X48" i="31"/>
  <c r="M48" i="31"/>
  <c r="D110" i="31"/>
  <c r="L48" i="31"/>
  <c r="I48" i="31"/>
  <c r="X47" i="31"/>
  <c r="M47" i="31"/>
  <c r="L47" i="31"/>
  <c r="X46" i="31"/>
  <c r="M46" i="31"/>
  <c r="L46" i="31"/>
  <c r="E46" i="31"/>
  <c r="X45" i="31"/>
  <c r="M45" i="31"/>
  <c r="D102" i="31"/>
  <c r="L45" i="31"/>
  <c r="E45" i="31"/>
  <c r="X44" i="31"/>
  <c r="M44" i="31"/>
  <c r="L44" i="31"/>
  <c r="X43" i="31"/>
  <c r="M43" i="31"/>
  <c r="D99" i="31"/>
  <c r="L43" i="31"/>
  <c r="E43" i="31"/>
  <c r="X42" i="31"/>
  <c r="M42" i="31"/>
  <c r="L42" i="31"/>
  <c r="E42" i="31"/>
  <c r="X41" i="31"/>
  <c r="M41" i="31"/>
  <c r="L41" i="31"/>
  <c r="E41" i="31"/>
  <c r="T40" i="31"/>
  <c r="X40" i="31"/>
  <c r="X39" i="31"/>
  <c r="E39" i="31"/>
  <c r="X38" i="31"/>
  <c r="E38" i="31"/>
  <c r="V7" i="31"/>
  <c r="X37" i="31"/>
  <c r="X36" i="31"/>
  <c r="X35" i="31"/>
  <c r="X34" i="31"/>
  <c r="X33" i="31"/>
  <c r="X32" i="31"/>
  <c r="X31" i="31"/>
  <c r="D31" i="31"/>
  <c r="X30" i="31"/>
  <c r="D30" i="31"/>
  <c r="C30" i="31"/>
  <c r="X29" i="31"/>
  <c r="T28" i="31"/>
  <c r="X28" i="31"/>
  <c r="X27" i="31"/>
  <c r="X26" i="31"/>
  <c r="X25" i="31"/>
  <c r="X24" i="31"/>
  <c r="X23" i="31"/>
  <c r="X22" i="31"/>
  <c r="X21" i="31"/>
  <c r="X20" i="31"/>
  <c r="X19" i="31"/>
  <c r="X18" i="31"/>
  <c r="D18" i="31"/>
  <c r="C18" i="31"/>
  <c r="B18" i="31"/>
  <c r="T17" i="31"/>
  <c r="X17" i="31"/>
  <c r="D17" i="31"/>
  <c r="C17" i="31"/>
  <c r="B17" i="31"/>
  <c r="X16" i="31"/>
  <c r="D16" i="31"/>
  <c r="C16" i="31"/>
  <c r="B16" i="31"/>
  <c r="X15" i="31"/>
  <c r="X14" i="31"/>
  <c r="D14" i="31"/>
  <c r="B14" i="31"/>
  <c r="X13" i="31"/>
  <c r="X12" i="31"/>
  <c r="X11" i="31"/>
  <c r="X10" i="31"/>
  <c r="D10" i="31"/>
  <c r="X9" i="31"/>
  <c r="D9" i="31"/>
  <c r="E9" i="31"/>
  <c r="X8" i="31"/>
  <c r="D8" i="31"/>
  <c r="X7" i="31"/>
  <c r="Q7" i="31"/>
  <c r="R7" i="31" s="1"/>
  <c r="D7" i="31"/>
  <c r="C7" i="31"/>
  <c r="D6" i="31"/>
  <c r="M94" i="30"/>
  <c r="D112" i="30"/>
  <c r="D111" i="30"/>
  <c r="D102" i="30"/>
  <c r="H101" i="30"/>
  <c r="H100" i="30"/>
  <c r="D99" i="30"/>
  <c r="D98" i="30"/>
  <c r="D105" i="30"/>
  <c r="X66" i="30"/>
  <c r="X65" i="30"/>
  <c r="T64" i="30"/>
  <c r="X64" i="30"/>
  <c r="X63" i="30"/>
  <c r="X62" i="30"/>
  <c r="X61" i="30"/>
  <c r="X60" i="30"/>
  <c r="X59" i="30"/>
  <c r="X58" i="30"/>
  <c r="X57" i="30"/>
  <c r="X56" i="30"/>
  <c r="X55" i="30"/>
  <c r="X54" i="30"/>
  <c r="X53" i="30"/>
  <c r="I53" i="30"/>
  <c r="E53" i="30"/>
  <c r="D53" i="30"/>
  <c r="T52" i="30"/>
  <c r="X52" i="30"/>
  <c r="I52" i="30"/>
  <c r="E52" i="30"/>
  <c r="D52" i="30"/>
  <c r="X51" i="30"/>
  <c r="I51" i="30"/>
  <c r="E51" i="30"/>
  <c r="X50" i="30"/>
  <c r="I50" i="30"/>
  <c r="D50" i="30"/>
  <c r="E50" i="30"/>
  <c r="X49" i="30"/>
  <c r="I49" i="30"/>
  <c r="E49" i="30"/>
  <c r="D49" i="30"/>
  <c r="X48" i="30"/>
  <c r="M48" i="30"/>
  <c r="D110" i="30"/>
  <c r="L48" i="30"/>
  <c r="I48" i="30"/>
  <c r="E48" i="30"/>
  <c r="X47" i="30"/>
  <c r="M47" i="30"/>
  <c r="L47" i="30"/>
  <c r="X46" i="30"/>
  <c r="M46" i="30"/>
  <c r="L46" i="30"/>
  <c r="E46" i="30"/>
  <c r="X45" i="30"/>
  <c r="M45" i="30"/>
  <c r="L45" i="30"/>
  <c r="E45" i="30"/>
  <c r="X44" i="30"/>
  <c r="M44" i="30"/>
  <c r="D29" i="30"/>
  <c r="C29" i="30"/>
  <c r="L44" i="30"/>
  <c r="X43" i="30"/>
  <c r="M43" i="30"/>
  <c r="L43" i="30"/>
  <c r="E43" i="30"/>
  <c r="X42" i="30"/>
  <c r="M42" i="30"/>
  <c r="L42" i="30"/>
  <c r="E42" i="30"/>
  <c r="X41" i="30"/>
  <c r="M41" i="30"/>
  <c r="L41" i="30"/>
  <c r="E41" i="30"/>
  <c r="T40" i="30"/>
  <c r="X40" i="30"/>
  <c r="X39" i="30"/>
  <c r="E39" i="30"/>
  <c r="X38" i="30"/>
  <c r="E38" i="30"/>
  <c r="X37" i="30"/>
  <c r="X36" i="30"/>
  <c r="X35" i="30"/>
  <c r="X34" i="30"/>
  <c r="X33" i="30"/>
  <c r="X32" i="30"/>
  <c r="M32" i="30"/>
  <c r="X31" i="30"/>
  <c r="M31" i="30"/>
  <c r="D31" i="30"/>
  <c r="X30" i="30"/>
  <c r="M30" i="30"/>
  <c r="D30" i="30"/>
  <c r="C30" i="30"/>
  <c r="X29" i="30"/>
  <c r="M29" i="30"/>
  <c r="D23" i="30"/>
  <c r="X28" i="30"/>
  <c r="T28" i="30"/>
  <c r="X27" i="30"/>
  <c r="X26" i="30"/>
  <c r="X25" i="30"/>
  <c r="X24" i="30"/>
  <c r="M24" i="30"/>
  <c r="X23" i="30"/>
  <c r="X22" i="30"/>
  <c r="D22" i="30"/>
  <c r="C22" i="30"/>
  <c r="X21" i="30"/>
  <c r="X20" i="30"/>
  <c r="X19" i="30"/>
  <c r="X18" i="30"/>
  <c r="D18" i="30"/>
  <c r="C18" i="30"/>
  <c r="B18" i="30"/>
  <c r="X17" i="30"/>
  <c r="T17" i="30"/>
  <c r="D17" i="30"/>
  <c r="B17" i="30"/>
  <c r="X16" i="30"/>
  <c r="D16" i="30"/>
  <c r="C16" i="30"/>
  <c r="B16" i="30"/>
  <c r="X15" i="30"/>
  <c r="D15" i="30"/>
  <c r="C15" i="30"/>
  <c r="H15" i="30"/>
  <c r="B15" i="30"/>
  <c r="X14" i="30"/>
  <c r="D14" i="30"/>
  <c r="I14" i="30"/>
  <c r="C14" i="30"/>
  <c r="H14" i="30"/>
  <c r="B14" i="30"/>
  <c r="X13" i="30"/>
  <c r="X12" i="30"/>
  <c r="X11" i="30"/>
  <c r="X10" i="30"/>
  <c r="D10" i="30"/>
  <c r="X9" i="30"/>
  <c r="D9" i="30"/>
  <c r="E9" i="30"/>
  <c r="X8" i="30"/>
  <c r="D8" i="30"/>
  <c r="X7" i="30"/>
  <c r="Q7" i="30"/>
  <c r="Q8" i="30" s="1"/>
  <c r="D7" i="30"/>
  <c r="C7" i="30"/>
  <c r="D6" i="30"/>
  <c r="C6" i="30"/>
  <c r="V34" i="38"/>
  <c r="W36" i="38"/>
  <c r="V32" i="37"/>
  <c r="Y31" i="37"/>
  <c r="W35" i="37"/>
  <c r="Y33" i="36"/>
  <c r="W34" i="36"/>
  <c r="V31" i="35"/>
  <c r="Y30" i="35"/>
  <c r="W34" i="35"/>
  <c r="M40" i="31"/>
  <c r="D121" i="31"/>
  <c r="D123" i="31"/>
  <c r="D29" i="31"/>
  <c r="C29" i="31"/>
  <c r="D98" i="31"/>
  <c r="V32" i="34"/>
  <c r="Y31" i="34"/>
  <c r="W34" i="34"/>
  <c r="C14" i="31"/>
  <c r="H14" i="31"/>
  <c r="W32" i="33"/>
  <c r="V29" i="33"/>
  <c r="Y28" i="33"/>
  <c r="E15" i="31"/>
  <c r="D49" i="31"/>
  <c r="D53" i="31"/>
  <c r="Y32" i="32"/>
  <c r="W33" i="32"/>
  <c r="I17" i="31"/>
  <c r="H17" i="31"/>
  <c r="D51" i="31"/>
  <c r="H16" i="31"/>
  <c r="D48" i="30"/>
  <c r="H15" i="31"/>
  <c r="E48" i="31"/>
  <c r="E56" i="31"/>
  <c r="S7" i="30"/>
  <c r="S8" i="30"/>
  <c r="S9" i="30"/>
  <c r="S10" i="30"/>
  <c r="S11" i="30"/>
  <c r="S12" i="30"/>
  <c r="S13" i="30"/>
  <c r="S14" i="30"/>
  <c r="S15" i="30"/>
  <c r="S16" i="30"/>
  <c r="S17" i="30"/>
  <c r="S18" i="30"/>
  <c r="S19" i="30"/>
  <c r="S20" i="30"/>
  <c r="S21" i="30"/>
  <c r="S22" i="30"/>
  <c r="S23" i="30"/>
  <c r="S24" i="30"/>
  <c r="S25" i="30"/>
  <c r="S26" i="30"/>
  <c r="S27" i="30"/>
  <c r="S28" i="30"/>
  <c r="S29" i="30"/>
  <c r="S30" i="30"/>
  <c r="S31" i="30"/>
  <c r="S32" i="30"/>
  <c r="S33" i="30"/>
  <c r="S34" i="30"/>
  <c r="S35" i="30"/>
  <c r="S36" i="30"/>
  <c r="S37" i="30"/>
  <c r="S38" i="30"/>
  <c r="S39" i="30"/>
  <c r="S40" i="30"/>
  <c r="S41" i="30"/>
  <c r="S42" i="30"/>
  <c r="S43" i="30"/>
  <c r="S44" i="30"/>
  <c r="S45" i="30"/>
  <c r="S46" i="30"/>
  <c r="S47" i="30"/>
  <c r="S48" i="30"/>
  <c r="S49" i="30"/>
  <c r="S50" i="30"/>
  <c r="S51" i="30"/>
  <c r="S52" i="30"/>
  <c r="S53" i="30"/>
  <c r="S54" i="30"/>
  <c r="S55" i="30"/>
  <c r="S56" i="30"/>
  <c r="S57" i="30"/>
  <c r="S58" i="30"/>
  <c r="S59" i="30"/>
  <c r="S60" i="30"/>
  <c r="S61" i="30"/>
  <c r="S62" i="30"/>
  <c r="S63" i="30"/>
  <c r="S64" i="30"/>
  <c r="S65" i="30"/>
  <c r="S66" i="30"/>
  <c r="H16" i="30"/>
  <c r="D75" i="30"/>
  <c r="I19" i="30"/>
  <c r="C17" i="30"/>
  <c r="H17" i="30"/>
  <c r="C22" i="31"/>
  <c r="E17" i="31"/>
  <c r="I83" i="31"/>
  <c r="C6" i="31"/>
  <c r="I57" i="31"/>
  <c r="W7" i="31"/>
  <c r="W8" i="31"/>
  <c r="C23" i="31"/>
  <c r="D105" i="31"/>
  <c r="E14" i="31"/>
  <c r="D128" i="31"/>
  <c r="D135" i="31"/>
  <c r="D136" i="31"/>
  <c r="D137" i="31"/>
  <c r="D124" i="31"/>
  <c r="E18" i="31"/>
  <c r="E8" i="31"/>
  <c r="D72" i="31"/>
  <c r="D50" i="31"/>
  <c r="I16" i="31"/>
  <c r="C9" i="31"/>
  <c r="U7" i="31"/>
  <c r="U8" i="31"/>
  <c r="U9" i="31"/>
  <c r="U10" i="31"/>
  <c r="U11" i="31"/>
  <c r="U12" i="31"/>
  <c r="U13" i="31"/>
  <c r="U14" i="31"/>
  <c r="U15" i="31"/>
  <c r="U16" i="31"/>
  <c r="U17" i="31"/>
  <c r="U18" i="31"/>
  <c r="U19" i="31"/>
  <c r="U20" i="31"/>
  <c r="U21" i="31"/>
  <c r="U22" i="31"/>
  <c r="U23" i="31"/>
  <c r="U24" i="31"/>
  <c r="U25" i="31"/>
  <c r="U26" i="31"/>
  <c r="U27" i="31"/>
  <c r="U28" i="31"/>
  <c r="U29" i="31"/>
  <c r="U30" i="31"/>
  <c r="U31" i="31"/>
  <c r="U32" i="31"/>
  <c r="U33" i="31"/>
  <c r="U34" i="31"/>
  <c r="U35" i="31"/>
  <c r="U36" i="31"/>
  <c r="U37" i="31"/>
  <c r="U38" i="31"/>
  <c r="U39" i="31"/>
  <c r="U40" i="31"/>
  <c r="U41" i="31"/>
  <c r="U42" i="31"/>
  <c r="U43" i="31"/>
  <c r="U44" i="31"/>
  <c r="U45" i="31"/>
  <c r="U46" i="31"/>
  <c r="U47" i="31"/>
  <c r="U48" i="31"/>
  <c r="U49" i="31"/>
  <c r="U50" i="31"/>
  <c r="U51" i="31"/>
  <c r="U52" i="31"/>
  <c r="U53" i="31"/>
  <c r="U54" i="31"/>
  <c r="U55" i="31"/>
  <c r="U56" i="31"/>
  <c r="U57" i="31"/>
  <c r="U58" i="31"/>
  <c r="U59" i="31"/>
  <c r="U60" i="31"/>
  <c r="U61" i="31"/>
  <c r="U62" i="31"/>
  <c r="U63" i="31"/>
  <c r="U64" i="31"/>
  <c r="U65" i="31"/>
  <c r="U66" i="31"/>
  <c r="U67" i="31"/>
  <c r="U68" i="31"/>
  <c r="U69" i="31"/>
  <c r="U70" i="31"/>
  <c r="U71" i="31"/>
  <c r="U72" i="31"/>
  <c r="U73" i="31"/>
  <c r="U74" i="31"/>
  <c r="U75" i="31"/>
  <c r="U76" i="31"/>
  <c r="U77" i="31"/>
  <c r="U78" i="31"/>
  <c r="U79" i="31"/>
  <c r="U80" i="31"/>
  <c r="U81" i="31"/>
  <c r="U82" i="31"/>
  <c r="U83" i="31"/>
  <c r="U84" i="31"/>
  <c r="U85" i="31"/>
  <c r="U86" i="31"/>
  <c r="U87" i="31"/>
  <c r="U88" i="31"/>
  <c r="U89" i="31"/>
  <c r="U90" i="31"/>
  <c r="U91" i="31"/>
  <c r="U92" i="31"/>
  <c r="U93" i="31"/>
  <c r="U94" i="31"/>
  <c r="U95" i="31"/>
  <c r="U96" i="31"/>
  <c r="U97" i="31"/>
  <c r="U98" i="31"/>
  <c r="U99" i="31"/>
  <c r="U100" i="31"/>
  <c r="U101" i="31"/>
  <c r="U102" i="31"/>
  <c r="U103" i="31"/>
  <c r="U104" i="31"/>
  <c r="U105" i="31"/>
  <c r="U106" i="31"/>
  <c r="U107" i="31"/>
  <c r="U108" i="31"/>
  <c r="U109" i="31"/>
  <c r="U110" i="31"/>
  <c r="U111" i="31"/>
  <c r="U112" i="31"/>
  <c r="U113" i="31"/>
  <c r="U114" i="31"/>
  <c r="U115" i="31"/>
  <c r="U116" i="31"/>
  <c r="U117" i="31"/>
  <c r="U118" i="31"/>
  <c r="U119" i="31"/>
  <c r="U120" i="31"/>
  <c r="U121" i="31"/>
  <c r="U122" i="31"/>
  <c r="U123" i="31"/>
  <c r="U124" i="31"/>
  <c r="U125" i="31"/>
  <c r="U126" i="31"/>
  <c r="U127" i="31"/>
  <c r="U128" i="31"/>
  <c r="I14" i="31"/>
  <c r="I82" i="31"/>
  <c r="I15" i="31"/>
  <c r="D25" i="31"/>
  <c r="C25" i="31"/>
  <c r="C23" i="30"/>
  <c r="E8" i="30"/>
  <c r="D51" i="30"/>
  <c r="D77" i="30"/>
  <c r="D24" i="30"/>
  <c r="C24" i="30"/>
  <c r="M25" i="30"/>
  <c r="I17" i="30"/>
  <c r="M40" i="30"/>
  <c r="D121" i="30"/>
  <c r="D123" i="30"/>
  <c r="U7" i="30"/>
  <c r="U8" i="30"/>
  <c r="U9" i="30"/>
  <c r="U10" i="30"/>
  <c r="U11" i="30"/>
  <c r="U12" i="30"/>
  <c r="U13" i="30"/>
  <c r="U14" i="30"/>
  <c r="U15" i="30"/>
  <c r="U16" i="30"/>
  <c r="U17" i="30"/>
  <c r="U18" i="30"/>
  <c r="U19" i="30"/>
  <c r="U20" i="30"/>
  <c r="U21" i="30"/>
  <c r="U22" i="30"/>
  <c r="U23" i="30"/>
  <c r="U24" i="30"/>
  <c r="U25" i="30"/>
  <c r="U26" i="30"/>
  <c r="U27" i="30"/>
  <c r="U28" i="30"/>
  <c r="U29" i="30"/>
  <c r="U30" i="30"/>
  <c r="U31" i="30"/>
  <c r="U32" i="30"/>
  <c r="U33" i="30"/>
  <c r="U34" i="30"/>
  <c r="U35" i="30"/>
  <c r="U36" i="30"/>
  <c r="U37" i="30"/>
  <c r="U38" i="30"/>
  <c r="U39" i="30"/>
  <c r="U40" i="30"/>
  <c r="U41" i="30"/>
  <c r="U42" i="30"/>
  <c r="U43" i="30"/>
  <c r="U44" i="30"/>
  <c r="U45" i="30"/>
  <c r="U46" i="30"/>
  <c r="U47" i="30"/>
  <c r="U48" i="30"/>
  <c r="U49" i="30"/>
  <c r="U50" i="30"/>
  <c r="U51" i="30"/>
  <c r="U52" i="30"/>
  <c r="U53" i="30"/>
  <c r="U54" i="30"/>
  <c r="U55" i="30"/>
  <c r="U56" i="30"/>
  <c r="U57" i="30"/>
  <c r="U58" i="30"/>
  <c r="U59" i="30"/>
  <c r="U60" i="30"/>
  <c r="U61" i="30"/>
  <c r="U62" i="30"/>
  <c r="U63" i="30"/>
  <c r="U64" i="30"/>
  <c r="U65" i="30"/>
  <c r="U66" i="30"/>
  <c r="I83" i="30"/>
  <c r="V7" i="30"/>
  <c r="I82" i="30"/>
  <c r="I16" i="30"/>
  <c r="I57" i="30"/>
  <c r="W7" i="30"/>
  <c r="D106" i="30"/>
  <c r="D107" i="30"/>
  <c r="D113" i="30"/>
  <c r="D116" i="30"/>
  <c r="D117" i="30"/>
  <c r="D118" i="30"/>
  <c r="D74" i="30"/>
  <c r="E56" i="30"/>
  <c r="I15" i="30"/>
  <c r="D72" i="30"/>
  <c r="E14" i="30"/>
  <c r="C9" i="30"/>
  <c r="W37" i="38"/>
  <c r="V35" i="38"/>
  <c r="W36" i="37"/>
  <c r="V33" i="37"/>
  <c r="Y32" i="37"/>
  <c r="Y34" i="36"/>
  <c r="W35" i="36"/>
  <c r="W35" i="35"/>
  <c r="V32" i="35"/>
  <c r="Y31" i="35"/>
  <c r="W35" i="34"/>
  <c r="V33" i="34"/>
  <c r="Y32" i="34"/>
  <c r="H102" i="30"/>
  <c r="H104" i="30"/>
  <c r="I104" i="30"/>
  <c r="D79" i="30"/>
  <c r="D81" i="30"/>
  <c r="D83" i="30"/>
  <c r="I32" i="31"/>
  <c r="V30" i="33"/>
  <c r="Y29" i="33"/>
  <c r="W33" i="33"/>
  <c r="D74" i="31"/>
  <c r="D78" i="31"/>
  <c r="D80" i="31"/>
  <c r="D82" i="31"/>
  <c r="S7" i="31"/>
  <c r="S8" i="31"/>
  <c r="S9" i="31"/>
  <c r="S10" i="31"/>
  <c r="S11" i="31"/>
  <c r="S12" i="31"/>
  <c r="S13" i="31"/>
  <c r="S14" i="31"/>
  <c r="S15" i="31"/>
  <c r="S16" i="31"/>
  <c r="S17" i="31"/>
  <c r="S18" i="31"/>
  <c r="S19" i="31"/>
  <c r="S20" i="31"/>
  <c r="S21" i="31"/>
  <c r="S22" i="31"/>
  <c r="S23" i="31"/>
  <c r="S24" i="31"/>
  <c r="S25" i="31"/>
  <c r="S26" i="31"/>
  <c r="S27" i="31"/>
  <c r="S28" i="31"/>
  <c r="S29" i="31"/>
  <c r="S30" i="31"/>
  <c r="S31" i="31"/>
  <c r="S32" i="31"/>
  <c r="S33" i="31"/>
  <c r="S34" i="31"/>
  <c r="S35" i="31"/>
  <c r="S36" i="31"/>
  <c r="S37" i="31"/>
  <c r="S38" i="31"/>
  <c r="S39" i="31"/>
  <c r="S40" i="31"/>
  <c r="S41" i="31"/>
  <c r="S42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61" i="31"/>
  <c r="S62" i="31"/>
  <c r="S63" i="31"/>
  <c r="S64" i="31"/>
  <c r="S65" i="31"/>
  <c r="S66" i="31"/>
  <c r="S67" i="31"/>
  <c r="D48" i="31"/>
  <c r="D76" i="31"/>
  <c r="D59" i="31"/>
  <c r="C59" i="31"/>
  <c r="H102" i="31"/>
  <c r="H104" i="31"/>
  <c r="I104" i="31"/>
  <c r="W34" i="32"/>
  <c r="Y33" i="32"/>
  <c r="I84" i="31"/>
  <c r="I84" i="30"/>
  <c r="D106" i="31"/>
  <c r="D107" i="31"/>
  <c r="D113" i="31"/>
  <c r="D116" i="31"/>
  <c r="D117" i="31"/>
  <c r="D118" i="31"/>
  <c r="D67" i="31"/>
  <c r="E57" i="31"/>
  <c r="D65" i="31"/>
  <c r="E16" i="31"/>
  <c r="O6" i="31"/>
  <c r="D125" i="31"/>
  <c r="G97" i="31"/>
  <c r="W9" i="31"/>
  <c r="D128" i="30"/>
  <c r="D135" i="30"/>
  <c r="D136" i="30"/>
  <c r="D137" i="30"/>
  <c r="D124" i="30"/>
  <c r="W8" i="30"/>
  <c r="Y7" i="30"/>
  <c r="D67" i="30"/>
  <c r="E57" i="30"/>
  <c r="D65" i="30"/>
  <c r="D68" i="30"/>
  <c r="E15" i="30"/>
  <c r="D25" i="30"/>
  <c r="M26" i="30"/>
  <c r="V36" i="38"/>
  <c r="W38" i="38"/>
  <c r="V34" i="37"/>
  <c r="Y33" i="37"/>
  <c r="W37" i="37"/>
  <c r="Y35" i="36"/>
  <c r="W36" i="36"/>
  <c r="W36" i="35"/>
  <c r="V33" i="35"/>
  <c r="Y32" i="35"/>
  <c r="E19" i="31" a="1"/>
  <c r="E19" i="31"/>
  <c r="V34" i="34"/>
  <c r="Y33" i="34"/>
  <c r="W36" i="34"/>
  <c r="S68" i="31"/>
  <c r="Y7" i="31"/>
  <c r="C19" i="31"/>
  <c r="W34" i="33"/>
  <c r="V31" i="33"/>
  <c r="Y30" i="33"/>
  <c r="D68" i="31"/>
  <c r="D19" i="31"/>
  <c r="H5" i="31"/>
  <c r="I72" i="31"/>
  <c r="Y34" i="32"/>
  <c r="W35" i="32"/>
  <c r="W10" i="31"/>
  <c r="D26" i="30"/>
  <c r="I32" i="30"/>
  <c r="M27" i="30"/>
  <c r="D27" i="30"/>
  <c r="W9" i="30"/>
  <c r="D125" i="30"/>
  <c r="G97" i="30"/>
  <c r="C25" i="30"/>
  <c r="E16" i="30"/>
  <c r="W39" i="38"/>
  <c r="V37" i="38"/>
  <c r="W38" i="37"/>
  <c r="V35" i="37"/>
  <c r="Y34" i="37"/>
  <c r="W37" i="36"/>
  <c r="Y36" i="36"/>
  <c r="V34" i="35"/>
  <c r="Y33" i="35"/>
  <c r="W37" i="35"/>
  <c r="W37" i="34"/>
  <c r="V35" i="34"/>
  <c r="Y34" i="34"/>
  <c r="S69" i="31"/>
  <c r="I19" i="31"/>
  <c r="H24" i="31"/>
  <c r="V32" i="33"/>
  <c r="Y31" i="33"/>
  <c r="W35" i="33"/>
  <c r="I65" i="31"/>
  <c r="V8" i="31"/>
  <c r="W36" i="32"/>
  <c r="Y35" i="32"/>
  <c r="I89" i="31"/>
  <c r="I88" i="31"/>
  <c r="I74" i="31"/>
  <c r="I75" i="31"/>
  <c r="I5" i="31"/>
  <c r="I90" i="31"/>
  <c r="D89" i="31"/>
  <c r="D86" i="31"/>
  <c r="W11" i="31"/>
  <c r="W10" i="30"/>
  <c r="C27" i="30"/>
  <c r="E18" i="30"/>
  <c r="C26" i="30"/>
  <c r="E17" i="30"/>
  <c r="C19" i="30" a="1"/>
  <c r="C19" i="30"/>
  <c r="D19" i="30"/>
  <c r="H5" i="30"/>
  <c r="V38" i="38"/>
  <c r="W40" i="38"/>
  <c r="V36" i="37"/>
  <c r="Y35" i="37"/>
  <c r="W39" i="37"/>
  <c r="Y37" i="36"/>
  <c r="W38" i="36"/>
  <c r="W38" i="35"/>
  <c r="V35" i="35"/>
  <c r="Y34" i="35"/>
  <c r="V36" i="34"/>
  <c r="Y35" i="34"/>
  <c r="W38" i="34"/>
  <c r="S70" i="31"/>
  <c r="I76" i="31"/>
  <c r="W36" i="33"/>
  <c r="V33" i="33"/>
  <c r="Y32" i="33"/>
  <c r="I67" i="31"/>
  <c r="I69" i="31"/>
  <c r="Y36" i="32"/>
  <c r="W37" i="32"/>
  <c r="I72" i="30"/>
  <c r="I5" i="30"/>
  <c r="W12" i="31"/>
  <c r="V9" i="31"/>
  <c r="Y8" i="31"/>
  <c r="I74" i="30"/>
  <c r="I89" i="30"/>
  <c r="I88" i="30"/>
  <c r="H24" i="30"/>
  <c r="I65" i="30"/>
  <c r="W11" i="30"/>
  <c r="W41" i="38"/>
  <c r="V39" i="38"/>
  <c r="W40" i="37"/>
  <c r="V37" i="37"/>
  <c r="Y36" i="37"/>
  <c r="W39" i="36"/>
  <c r="Y38" i="36"/>
  <c r="V36" i="35"/>
  <c r="Y35" i="35"/>
  <c r="W39" i="35"/>
  <c r="V37" i="34"/>
  <c r="Y36" i="34"/>
  <c r="W39" i="34"/>
  <c r="S71" i="31"/>
  <c r="V34" i="33"/>
  <c r="Y33" i="33"/>
  <c r="W37" i="33"/>
  <c r="W38" i="32"/>
  <c r="Y37" i="32"/>
  <c r="V10" i="31"/>
  <c r="Y9" i="31"/>
  <c r="W13" i="31"/>
  <c r="D90" i="30"/>
  <c r="D87" i="30"/>
  <c r="I90" i="30"/>
  <c r="W12" i="30"/>
  <c r="I67" i="30"/>
  <c r="I69" i="30"/>
  <c r="V8" i="30"/>
  <c r="I76" i="30"/>
  <c r="I75" i="30"/>
  <c r="V40" i="38"/>
  <c r="W42" i="38"/>
  <c r="V38" i="37"/>
  <c r="Y37" i="37"/>
  <c r="W41" i="37"/>
  <c r="W40" i="36"/>
  <c r="Y39" i="36"/>
  <c r="W40" i="35"/>
  <c r="V37" i="35"/>
  <c r="Y36" i="35"/>
  <c r="W40" i="34"/>
  <c r="V38" i="34"/>
  <c r="Y37" i="34"/>
  <c r="S72" i="31"/>
  <c r="S73" i="31"/>
  <c r="W38" i="33"/>
  <c r="V35" i="33"/>
  <c r="Y34" i="33"/>
  <c r="Y38" i="32"/>
  <c r="W39" i="32"/>
  <c r="V11" i="31"/>
  <c r="Y10" i="31"/>
  <c r="W14" i="31"/>
  <c r="V9" i="30"/>
  <c r="Y8" i="30"/>
  <c r="W13" i="30"/>
  <c r="W43" i="38"/>
  <c r="V41" i="38"/>
  <c r="W42" i="37"/>
  <c r="V39" i="37"/>
  <c r="Y38" i="37"/>
  <c r="Y40" i="36"/>
  <c r="W41" i="36"/>
  <c r="V38" i="35"/>
  <c r="Y37" i="35"/>
  <c r="W41" i="35"/>
  <c r="W41" i="34"/>
  <c r="V39" i="34"/>
  <c r="Y38" i="34"/>
  <c r="S74" i="31"/>
  <c r="W39" i="33"/>
  <c r="V36" i="33"/>
  <c r="Y35" i="33"/>
  <c r="W40" i="32"/>
  <c r="Y39" i="32"/>
  <c r="W15" i="31"/>
  <c r="V12" i="31"/>
  <c r="Y11" i="31"/>
  <c r="W14" i="30"/>
  <c r="V10" i="30"/>
  <c r="Y9" i="30"/>
  <c r="V42" i="38"/>
  <c r="W44" i="38"/>
  <c r="V40" i="37"/>
  <c r="Y39" i="37"/>
  <c r="W43" i="37"/>
  <c r="W42" i="36"/>
  <c r="Y41" i="36"/>
  <c r="W42" i="35"/>
  <c r="V39" i="35"/>
  <c r="Y38" i="35"/>
  <c r="V40" i="34"/>
  <c r="Y39" i="34"/>
  <c r="W42" i="34"/>
  <c r="S75" i="31"/>
  <c r="V37" i="33"/>
  <c r="Y36" i="33"/>
  <c r="W40" i="33"/>
  <c r="Y40" i="32"/>
  <c r="W41" i="32"/>
  <c r="V13" i="31"/>
  <c r="Y12" i="31"/>
  <c r="W16" i="31"/>
  <c r="V11" i="30"/>
  <c r="Y10" i="30"/>
  <c r="W15" i="30"/>
  <c r="W45" i="38"/>
  <c r="V43" i="38"/>
  <c r="W44" i="37"/>
  <c r="V41" i="37"/>
  <c r="Y40" i="37"/>
  <c r="W43" i="36"/>
  <c r="Y42" i="36"/>
  <c r="V40" i="35"/>
  <c r="Y39" i="35"/>
  <c r="W43" i="35"/>
  <c r="W43" i="34"/>
  <c r="V41" i="34"/>
  <c r="Y40" i="34"/>
  <c r="S76" i="31"/>
  <c r="W41" i="33"/>
  <c r="V38" i="33"/>
  <c r="Y37" i="33"/>
  <c r="Y41" i="32"/>
  <c r="W42" i="32"/>
  <c r="V14" i="31"/>
  <c r="Y13" i="31"/>
  <c r="W17" i="31"/>
  <c r="W16" i="30"/>
  <c r="V12" i="30"/>
  <c r="Y11" i="30"/>
  <c r="V44" i="38"/>
  <c r="W46" i="38"/>
  <c r="V42" i="37"/>
  <c r="Y41" i="37"/>
  <c r="W45" i="37"/>
  <c r="Y43" i="36"/>
  <c r="W44" i="36"/>
  <c r="W44" i="35"/>
  <c r="V41" i="35"/>
  <c r="Y40" i="35"/>
  <c r="V42" i="34"/>
  <c r="Y41" i="34"/>
  <c r="W44" i="34"/>
  <c r="S77" i="31"/>
  <c r="V39" i="33"/>
  <c r="Y38" i="33"/>
  <c r="W42" i="33"/>
  <c r="W43" i="32"/>
  <c r="Y42" i="32"/>
  <c r="W18" i="31"/>
  <c r="V15" i="31"/>
  <c r="Y14" i="31"/>
  <c r="V13" i="30"/>
  <c r="Y12" i="30"/>
  <c r="W17" i="30"/>
  <c r="W47" i="38"/>
  <c r="V45" i="38"/>
  <c r="W46" i="37"/>
  <c r="V43" i="37"/>
  <c r="Y42" i="37"/>
  <c r="W45" i="36"/>
  <c r="Y44" i="36"/>
  <c r="V42" i="35"/>
  <c r="Y41" i="35"/>
  <c r="W45" i="35"/>
  <c r="W45" i="34"/>
  <c r="V43" i="34"/>
  <c r="Y42" i="34"/>
  <c r="S78" i="31"/>
  <c r="W43" i="33"/>
  <c r="V40" i="33"/>
  <c r="Y39" i="33"/>
  <c r="Y43" i="32"/>
  <c r="W44" i="32"/>
  <c r="V16" i="31"/>
  <c r="Y15" i="31"/>
  <c r="W19" i="31"/>
  <c r="W18" i="30"/>
  <c r="V14" i="30"/>
  <c r="Y13" i="30"/>
  <c r="V46" i="38"/>
  <c r="W48" i="38"/>
  <c r="V44" i="37"/>
  <c r="Y43" i="37"/>
  <c r="W47" i="37"/>
  <c r="W46" i="36"/>
  <c r="Y45" i="36"/>
  <c r="W46" i="35"/>
  <c r="V43" i="35"/>
  <c r="Y42" i="35"/>
  <c r="W46" i="34"/>
  <c r="V44" i="34"/>
  <c r="Y43" i="34"/>
  <c r="S79" i="31"/>
  <c r="W44" i="33"/>
  <c r="V41" i="33"/>
  <c r="Y40" i="33"/>
  <c r="Y44" i="32"/>
  <c r="W45" i="32"/>
  <c r="W20" i="31"/>
  <c r="V17" i="31"/>
  <c r="Y16" i="31"/>
  <c r="V15" i="30"/>
  <c r="Y14" i="30"/>
  <c r="W19" i="30"/>
  <c r="W49" i="38"/>
  <c r="V47" i="38"/>
  <c r="W48" i="37"/>
  <c r="V45" i="37"/>
  <c r="Y44" i="37"/>
  <c r="Y46" i="36"/>
  <c r="W47" i="36"/>
  <c r="V44" i="35"/>
  <c r="Y43" i="35"/>
  <c r="W47" i="35"/>
  <c r="V45" i="34"/>
  <c r="Y44" i="34"/>
  <c r="W47" i="34"/>
  <c r="S80" i="31"/>
  <c r="V42" i="33"/>
  <c r="Y41" i="33"/>
  <c r="W45" i="33"/>
  <c r="W46" i="32"/>
  <c r="Y45" i="32"/>
  <c r="V18" i="31"/>
  <c r="Y17" i="31"/>
  <c r="W21" i="31"/>
  <c r="W20" i="30"/>
  <c r="V16" i="30"/>
  <c r="Y15" i="30"/>
  <c r="V48" i="38"/>
  <c r="W50" i="38"/>
  <c r="V46" i="37"/>
  <c r="Y45" i="37"/>
  <c r="W49" i="37"/>
  <c r="Y47" i="36"/>
  <c r="W48" i="36"/>
  <c r="W48" i="35"/>
  <c r="V45" i="35"/>
  <c r="Y44" i="35"/>
  <c r="W48" i="34"/>
  <c r="V46" i="34"/>
  <c r="Y45" i="34"/>
  <c r="S81" i="31"/>
  <c r="W46" i="33"/>
  <c r="V43" i="33"/>
  <c r="Y42" i="33"/>
  <c r="Y46" i="32"/>
  <c r="W47" i="32"/>
  <c r="W22" i="31"/>
  <c r="V19" i="31"/>
  <c r="Y18" i="31"/>
  <c r="V17" i="30"/>
  <c r="Y16" i="30"/>
  <c r="W21" i="30"/>
  <c r="H5" i="29"/>
  <c r="D22" i="29"/>
  <c r="C22" i="29"/>
  <c r="E53" i="29"/>
  <c r="M92" i="29"/>
  <c r="D112" i="29"/>
  <c r="D111" i="29"/>
  <c r="D102" i="29"/>
  <c r="H101" i="29"/>
  <c r="H100" i="29"/>
  <c r="D99" i="29"/>
  <c r="D98" i="29"/>
  <c r="X66" i="29"/>
  <c r="X65" i="29"/>
  <c r="T64" i="29"/>
  <c r="X64" i="29"/>
  <c r="X63" i="29"/>
  <c r="X62" i="29"/>
  <c r="X61" i="29"/>
  <c r="X60" i="29"/>
  <c r="X59" i="29"/>
  <c r="X58" i="29"/>
  <c r="X57" i="29"/>
  <c r="X56" i="29"/>
  <c r="X55" i="29"/>
  <c r="X54" i="29"/>
  <c r="X53" i="29"/>
  <c r="I53" i="29"/>
  <c r="T52" i="29"/>
  <c r="X52" i="29"/>
  <c r="I52" i="29"/>
  <c r="E52" i="29"/>
  <c r="D52" i="29"/>
  <c r="X51" i="29"/>
  <c r="I51" i="29"/>
  <c r="E51" i="29"/>
  <c r="X50" i="29"/>
  <c r="I50" i="29"/>
  <c r="E50" i="29"/>
  <c r="D50" i="29"/>
  <c r="X49" i="29"/>
  <c r="I49" i="29"/>
  <c r="D49" i="29"/>
  <c r="E49" i="29"/>
  <c r="X48" i="29"/>
  <c r="M48" i="29"/>
  <c r="D110" i="29"/>
  <c r="L48" i="29"/>
  <c r="I48" i="29"/>
  <c r="E48" i="29"/>
  <c r="X47" i="29"/>
  <c r="M47" i="29"/>
  <c r="L47" i="29"/>
  <c r="X46" i="29"/>
  <c r="M46" i="29"/>
  <c r="L46" i="29"/>
  <c r="E46" i="29"/>
  <c r="X45" i="29"/>
  <c r="M45" i="29"/>
  <c r="L45" i="29"/>
  <c r="E45" i="29"/>
  <c r="X44" i="29"/>
  <c r="M44" i="29"/>
  <c r="L44" i="29"/>
  <c r="X43" i="29"/>
  <c r="M43" i="29"/>
  <c r="L43" i="29"/>
  <c r="E43" i="29"/>
  <c r="X42" i="29"/>
  <c r="M42" i="29"/>
  <c r="L42" i="29"/>
  <c r="E42" i="29"/>
  <c r="X41" i="29"/>
  <c r="M41" i="29"/>
  <c r="L41" i="29"/>
  <c r="E41" i="29"/>
  <c r="T40" i="29"/>
  <c r="X40" i="29"/>
  <c r="X39" i="29"/>
  <c r="E39" i="29"/>
  <c r="X38" i="29"/>
  <c r="E38" i="29"/>
  <c r="V7" i="29"/>
  <c r="X37" i="29"/>
  <c r="X36" i="29"/>
  <c r="X35" i="29"/>
  <c r="X34" i="29"/>
  <c r="X33" i="29"/>
  <c r="X32" i="29"/>
  <c r="M32" i="29"/>
  <c r="X31" i="29"/>
  <c r="M31" i="29"/>
  <c r="D31" i="29"/>
  <c r="X30" i="29"/>
  <c r="M30" i="29"/>
  <c r="D30" i="29"/>
  <c r="C30" i="29"/>
  <c r="X29" i="29"/>
  <c r="X28" i="29"/>
  <c r="T28" i="29"/>
  <c r="X27" i="29"/>
  <c r="X26" i="29"/>
  <c r="X25" i="29"/>
  <c r="X24" i="29"/>
  <c r="M24" i="29"/>
  <c r="X23" i="29"/>
  <c r="D23" i="29"/>
  <c r="C23" i="29"/>
  <c r="X22" i="29"/>
  <c r="X21" i="29"/>
  <c r="X20" i="29"/>
  <c r="X19" i="29"/>
  <c r="X18" i="29"/>
  <c r="D18" i="29"/>
  <c r="C18" i="29"/>
  <c r="B18" i="29"/>
  <c r="T17" i="29"/>
  <c r="X17" i="29"/>
  <c r="D17" i="29"/>
  <c r="I17" i="29"/>
  <c r="C17" i="29"/>
  <c r="H17" i="29"/>
  <c r="B17" i="29"/>
  <c r="X16" i="29"/>
  <c r="D16" i="29"/>
  <c r="C16" i="29"/>
  <c r="B16" i="29"/>
  <c r="X15" i="29"/>
  <c r="D15" i="29"/>
  <c r="C15" i="29"/>
  <c r="H15" i="29"/>
  <c r="B15" i="29"/>
  <c r="X14" i="29"/>
  <c r="D14" i="29"/>
  <c r="C14" i="29"/>
  <c r="B14" i="29"/>
  <c r="X13" i="29"/>
  <c r="X12" i="29"/>
  <c r="X11" i="29"/>
  <c r="X10" i="29"/>
  <c r="D10" i="29"/>
  <c r="X9" i="29"/>
  <c r="D9" i="29"/>
  <c r="E9" i="29"/>
  <c r="X8" i="29"/>
  <c r="E8" i="29"/>
  <c r="D8" i="29"/>
  <c r="X7" i="29"/>
  <c r="Q7" i="29"/>
  <c r="R7" i="29" s="1"/>
  <c r="D7" i="29"/>
  <c r="C7" i="29"/>
  <c r="D6" i="29"/>
  <c r="C6" i="29"/>
  <c r="W51" i="38"/>
  <c r="V49" i="38"/>
  <c r="W50" i="37"/>
  <c r="V47" i="37"/>
  <c r="Y46" i="37"/>
  <c r="W49" i="36"/>
  <c r="Y48" i="36"/>
  <c r="V46" i="35"/>
  <c r="Y45" i="35"/>
  <c r="W49" i="35"/>
  <c r="V47" i="34"/>
  <c r="Y46" i="34"/>
  <c r="W49" i="34"/>
  <c r="S82" i="31"/>
  <c r="V44" i="33"/>
  <c r="Y43" i="33"/>
  <c r="W47" i="33"/>
  <c r="Y47" i="32"/>
  <c r="W48" i="32"/>
  <c r="V20" i="31"/>
  <c r="Y19" i="31"/>
  <c r="W23" i="31"/>
  <c r="W22" i="30"/>
  <c r="V18" i="30"/>
  <c r="Y17" i="30"/>
  <c r="E59" i="29"/>
  <c r="D59" i="29"/>
  <c r="D48" i="29"/>
  <c r="I14" i="29"/>
  <c r="H14" i="29"/>
  <c r="D72" i="29"/>
  <c r="D29" i="29"/>
  <c r="C29" i="29"/>
  <c r="D105" i="29"/>
  <c r="I19" i="29"/>
  <c r="M40" i="29"/>
  <c r="D121" i="29"/>
  <c r="D123" i="29"/>
  <c r="I83" i="29"/>
  <c r="U7" i="29"/>
  <c r="U8" i="29"/>
  <c r="U9" i="29"/>
  <c r="U10" i="29"/>
  <c r="U11" i="29"/>
  <c r="U12" i="29"/>
  <c r="U13" i="29"/>
  <c r="U14" i="29"/>
  <c r="U15" i="29"/>
  <c r="U16" i="29"/>
  <c r="U17" i="29"/>
  <c r="U18" i="29"/>
  <c r="U19" i="29"/>
  <c r="U20" i="29"/>
  <c r="U21" i="29"/>
  <c r="U22" i="29"/>
  <c r="U23" i="29"/>
  <c r="U24" i="29"/>
  <c r="U25" i="29"/>
  <c r="U26" i="29"/>
  <c r="U27" i="29"/>
  <c r="U28" i="29"/>
  <c r="U29" i="29"/>
  <c r="U30" i="29"/>
  <c r="U31" i="29"/>
  <c r="U32" i="29"/>
  <c r="U33" i="29"/>
  <c r="U34" i="29"/>
  <c r="U35" i="29"/>
  <c r="U36" i="29"/>
  <c r="U37" i="29"/>
  <c r="U38" i="29"/>
  <c r="U39" i="29"/>
  <c r="U40" i="29"/>
  <c r="U41" i="29"/>
  <c r="U42" i="29"/>
  <c r="U43" i="29"/>
  <c r="U44" i="29"/>
  <c r="U45" i="29"/>
  <c r="U46" i="29"/>
  <c r="U47" i="29"/>
  <c r="U48" i="29"/>
  <c r="U49" i="29"/>
  <c r="U50" i="29"/>
  <c r="U51" i="29"/>
  <c r="U52" i="29"/>
  <c r="U53" i="29"/>
  <c r="U54" i="29"/>
  <c r="U55" i="29"/>
  <c r="U56" i="29"/>
  <c r="U57" i="29"/>
  <c r="U58" i="29"/>
  <c r="U59" i="29"/>
  <c r="U60" i="29"/>
  <c r="U61" i="29"/>
  <c r="U62" i="29"/>
  <c r="U63" i="29"/>
  <c r="U64" i="29"/>
  <c r="U65" i="29"/>
  <c r="U66" i="29"/>
  <c r="D51" i="29"/>
  <c r="I16" i="29"/>
  <c r="H16" i="29"/>
  <c r="I57" i="29"/>
  <c r="W7" i="29"/>
  <c r="D24" i="29"/>
  <c r="M25" i="29"/>
  <c r="I15" i="29"/>
  <c r="E14" i="29"/>
  <c r="C9" i="29"/>
  <c r="E15" i="29"/>
  <c r="I82" i="29"/>
  <c r="D22" i="20"/>
  <c r="V50" i="38"/>
  <c r="W52" i="38"/>
  <c r="V48" i="37"/>
  <c r="Y47" i="37"/>
  <c r="W51" i="37"/>
  <c r="Y49" i="36"/>
  <c r="W50" i="36"/>
  <c r="W50" i="35"/>
  <c r="V47" i="35"/>
  <c r="Y46" i="35"/>
  <c r="W50" i="34"/>
  <c r="V48" i="34"/>
  <c r="Y47" i="34"/>
  <c r="S83" i="31"/>
  <c r="W48" i="33"/>
  <c r="V45" i="33"/>
  <c r="Y44" i="33"/>
  <c r="W49" i="32"/>
  <c r="Y48" i="32"/>
  <c r="W24" i="31"/>
  <c r="V21" i="31"/>
  <c r="Y20" i="31"/>
  <c r="W23" i="30"/>
  <c r="V19" i="30"/>
  <c r="Y18" i="30"/>
  <c r="E60" i="29"/>
  <c r="D60" i="29"/>
  <c r="I84" i="29"/>
  <c r="D25" i="29"/>
  <c r="M26" i="29"/>
  <c r="C24" i="29"/>
  <c r="D124" i="29"/>
  <c r="D128" i="29"/>
  <c r="D135" i="29"/>
  <c r="D136" i="29"/>
  <c r="D137" i="29"/>
  <c r="D106" i="29"/>
  <c r="D107" i="29"/>
  <c r="D113" i="29"/>
  <c r="D116" i="29"/>
  <c r="D117" i="29"/>
  <c r="D118" i="29"/>
  <c r="W8" i="29"/>
  <c r="E41" i="20"/>
  <c r="M24" i="20"/>
  <c r="M25" i="20"/>
  <c r="D17" i="20"/>
  <c r="D16" i="20"/>
  <c r="D14" i="20"/>
  <c r="M31" i="20"/>
  <c r="M30" i="20"/>
  <c r="M29" i="20"/>
  <c r="E13" i="23"/>
  <c r="C21" i="23"/>
  <c r="C22" i="23"/>
  <c r="D23" i="23"/>
  <c r="C23" i="23"/>
  <c r="C26" i="23"/>
  <c r="C24" i="23"/>
  <c r="D26" i="23"/>
  <c r="C29" i="23"/>
  <c r="C30" i="23"/>
  <c r="C31" i="23"/>
  <c r="D31" i="23"/>
  <c r="C32" i="23"/>
  <c r="C34" i="23"/>
  <c r="D34" i="23"/>
  <c r="C16" i="23"/>
  <c r="D18" i="23"/>
  <c r="C14" i="23"/>
  <c r="C13" i="23"/>
  <c r="C8" i="23"/>
  <c r="D7" i="23"/>
  <c r="D10" i="23"/>
  <c r="C6" i="23"/>
  <c r="C5" i="23"/>
  <c r="W53" i="38"/>
  <c r="V51" i="38"/>
  <c r="W52" i="37"/>
  <c r="V49" i="37"/>
  <c r="Y48" i="37"/>
  <c r="Y50" i="36"/>
  <c r="W51" i="36"/>
  <c r="V48" i="35"/>
  <c r="Y47" i="35"/>
  <c r="W51" i="35"/>
  <c r="V49" i="34"/>
  <c r="Y48" i="34"/>
  <c r="W51" i="34"/>
  <c r="S84" i="31"/>
  <c r="V46" i="33"/>
  <c r="Y45" i="33"/>
  <c r="W49" i="33"/>
  <c r="W50" i="32"/>
  <c r="Y49" i="32"/>
  <c r="V22" i="31"/>
  <c r="Y21" i="31"/>
  <c r="W25" i="31"/>
  <c r="W24" i="30"/>
  <c r="V20" i="30"/>
  <c r="Y19" i="30"/>
  <c r="I72" i="29"/>
  <c r="I5" i="29"/>
  <c r="W9" i="29"/>
  <c r="D125" i="29"/>
  <c r="G97" i="29"/>
  <c r="D26" i="29"/>
  <c r="M27" i="29"/>
  <c r="D27" i="29"/>
  <c r="C25" i="29"/>
  <c r="E16" i="29"/>
  <c r="M26" i="20"/>
  <c r="C15" i="23"/>
  <c r="C18" i="23"/>
  <c r="C7" i="23"/>
  <c r="C10" i="23"/>
  <c r="V52" i="38"/>
  <c r="W54" i="38"/>
  <c r="W53" i="37"/>
  <c r="V50" i="37"/>
  <c r="Y49" i="37"/>
  <c r="W52" i="36"/>
  <c r="Y51" i="36"/>
  <c r="W52" i="35"/>
  <c r="V49" i="35"/>
  <c r="Y48" i="35"/>
  <c r="W52" i="34"/>
  <c r="V50" i="34"/>
  <c r="Y49" i="34"/>
  <c r="S85" i="31"/>
  <c r="W50" i="33"/>
  <c r="V47" i="33"/>
  <c r="Y46" i="33"/>
  <c r="Y50" i="32"/>
  <c r="W51" i="32"/>
  <c r="W26" i="31"/>
  <c r="V23" i="31"/>
  <c r="Y22" i="31"/>
  <c r="W25" i="30"/>
  <c r="V21" i="30"/>
  <c r="Y20" i="30"/>
  <c r="W10" i="29"/>
  <c r="C27" i="29"/>
  <c r="E18" i="29"/>
  <c r="C26" i="29"/>
  <c r="E17" i="29"/>
  <c r="C19" i="29" a="1"/>
  <c r="C19" i="29"/>
  <c r="D19" i="29"/>
  <c r="I32" i="29"/>
  <c r="M27" i="20"/>
  <c r="W55" i="38"/>
  <c r="V53" i="38"/>
  <c r="V51" i="37"/>
  <c r="Y50" i="37"/>
  <c r="W54" i="37"/>
  <c r="W53" i="36"/>
  <c r="Y52" i="36"/>
  <c r="V50" i="35"/>
  <c r="Y49" i="35"/>
  <c r="W53" i="35"/>
  <c r="V51" i="34"/>
  <c r="Y50" i="34"/>
  <c r="W53" i="34"/>
  <c r="S86" i="31"/>
  <c r="S87" i="31"/>
  <c r="V48" i="33"/>
  <c r="Y47" i="33"/>
  <c r="W51" i="33"/>
  <c r="Y51" i="32"/>
  <c r="W52" i="32"/>
  <c r="V24" i="31"/>
  <c r="Y23" i="31"/>
  <c r="W27" i="31"/>
  <c r="W26" i="30"/>
  <c r="V22" i="30"/>
  <c r="Y21" i="30"/>
  <c r="W11" i="29"/>
  <c r="I74" i="29"/>
  <c r="I89" i="29"/>
  <c r="I88" i="29"/>
  <c r="H24" i="29"/>
  <c r="I65" i="29"/>
  <c r="I52" i="20"/>
  <c r="D26" i="20"/>
  <c r="I51" i="20"/>
  <c r="D25" i="20"/>
  <c r="I50" i="20"/>
  <c r="D24" i="20"/>
  <c r="I49" i="20"/>
  <c r="D23" i="20"/>
  <c r="D15" i="20"/>
  <c r="C15" i="20"/>
  <c r="C14" i="20"/>
  <c r="C17" i="20"/>
  <c r="V54" i="38"/>
  <c r="W56" i="38"/>
  <c r="W55" i="37"/>
  <c r="V52" i="37"/>
  <c r="Y51" i="37"/>
  <c r="Y53" i="36"/>
  <c r="W54" i="36"/>
  <c r="W54" i="35"/>
  <c r="V51" i="35"/>
  <c r="Y50" i="35"/>
  <c r="V52" i="34"/>
  <c r="Y51" i="34"/>
  <c r="W54" i="34"/>
  <c r="S88" i="31"/>
  <c r="W52" i="33"/>
  <c r="V49" i="33"/>
  <c r="Y48" i="33"/>
  <c r="W53" i="32"/>
  <c r="Y52" i="32"/>
  <c r="W28" i="31"/>
  <c r="V25" i="31"/>
  <c r="Y24" i="31"/>
  <c r="V23" i="30"/>
  <c r="Y22" i="30"/>
  <c r="W27" i="30"/>
  <c r="I90" i="29"/>
  <c r="D89" i="29"/>
  <c r="D86" i="29"/>
  <c r="I67" i="29"/>
  <c r="I69" i="29"/>
  <c r="V8" i="29"/>
  <c r="I76" i="29"/>
  <c r="I75" i="29"/>
  <c r="W12" i="29"/>
  <c r="C16" i="20"/>
  <c r="W57" i="38"/>
  <c r="V55" i="38"/>
  <c r="V53" i="37"/>
  <c r="Y52" i="37"/>
  <c r="W56" i="37"/>
  <c r="W55" i="36"/>
  <c r="Y54" i="36"/>
  <c r="W55" i="35"/>
  <c r="V52" i="35"/>
  <c r="Y51" i="35"/>
  <c r="W55" i="34"/>
  <c r="V53" i="34"/>
  <c r="Y52" i="34"/>
  <c r="S89" i="31"/>
  <c r="V50" i="33"/>
  <c r="Y49" i="33"/>
  <c r="W53" i="33"/>
  <c r="Y53" i="32"/>
  <c r="W54" i="32"/>
  <c r="W29" i="31"/>
  <c r="V26" i="31"/>
  <c r="Y25" i="31"/>
  <c r="V24" i="30"/>
  <c r="Y23" i="30"/>
  <c r="W28" i="30"/>
  <c r="W13" i="29"/>
  <c r="V9" i="29"/>
  <c r="I53" i="20"/>
  <c r="D27" i="20"/>
  <c r="C27" i="20"/>
  <c r="E53" i="20"/>
  <c r="E52" i="20"/>
  <c r="D18" i="20"/>
  <c r="B18" i="20"/>
  <c r="B17" i="20"/>
  <c r="H101" i="20"/>
  <c r="H100" i="20"/>
  <c r="X66" i="20"/>
  <c r="X65" i="20"/>
  <c r="T64" i="20"/>
  <c r="X64" i="20"/>
  <c r="X63" i="20"/>
  <c r="X62" i="20"/>
  <c r="X61" i="20"/>
  <c r="X60" i="20"/>
  <c r="X59" i="20"/>
  <c r="X58" i="20"/>
  <c r="X57" i="20"/>
  <c r="X56" i="20"/>
  <c r="X55" i="20"/>
  <c r="X54" i="20"/>
  <c r="X53" i="20"/>
  <c r="T52" i="20"/>
  <c r="X52" i="20"/>
  <c r="X51" i="20"/>
  <c r="X50" i="20"/>
  <c r="X49" i="20"/>
  <c r="X48" i="20"/>
  <c r="X47" i="20"/>
  <c r="E51" i="20"/>
  <c r="X46" i="20"/>
  <c r="E50" i="20"/>
  <c r="X45" i="20"/>
  <c r="E14" i="20"/>
  <c r="E49" i="20"/>
  <c r="X44" i="20"/>
  <c r="I48" i="20"/>
  <c r="D72" i="20"/>
  <c r="E48" i="20"/>
  <c r="X43" i="20"/>
  <c r="X42" i="20"/>
  <c r="E46" i="20"/>
  <c r="X41" i="20"/>
  <c r="E45" i="20"/>
  <c r="T40" i="20"/>
  <c r="X40" i="20"/>
  <c r="X39" i="20"/>
  <c r="E43" i="20"/>
  <c r="X38" i="20"/>
  <c r="E42" i="20"/>
  <c r="X37" i="20"/>
  <c r="X36" i="20"/>
  <c r="L48" i="20"/>
  <c r="X35" i="20"/>
  <c r="L47" i="20"/>
  <c r="E39" i="20"/>
  <c r="X34" i="20"/>
  <c r="M46" i="20"/>
  <c r="D111" i="20"/>
  <c r="L46" i="20"/>
  <c r="E38" i="20"/>
  <c r="X33" i="20"/>
  <c r="M45" i="20"/>
  <c r="D112" i="20"/>
  <c r="L45" i="20"/>
  <c r="X32" i="20"/>
  <c r="M44" i="20"/>
  <c r="L44" i="20"/>
  <c r="X31" i="20"/>
  <c r="M43" i="20"/>
  <c r="D99" i="20"/>
  <c r="L43" i="20"/>
  <c r="X30" i="20"/>
  <c r="M42" i="20"/>
  <c r="D98" i="20"/>
  <c r="L42" i="20"/>
  <c r="X29" i="20"/>
  <c r="L41" i="20"/>
  <c r="T28" i="20"/>
  <c r="X28" i="20"/>
  <c r="X27" i="20"/>
  <c r="D31" i="20"/>
  <c r="X26" i="20"/>
  <c r="D30" i="20"/>
  <c r="C30" i="20"/>
  <c r="X25" i="20"/>
  <c r="X24" i="20"/>
  <c r="X23" i="20"/>
  <c r="X22" i="20"/>
  <c r="X21" i="20"/>
  <c r="X20" i="20"/>
  <c r="C22" i="20"/>
  <c r="X19" i="20"/>
  <c r="X18" i="20"/>
  <c r="T17" i="20"/>
  <c r="X17" i="20"/>
  <c r="X16" i="20"/>
  <c r="B16" i="20"/>
  <c r="X15" i="20"/>
  <c r="B15" i="20"/>
  <c r="X14" i="20"/>
  <c r="B14" i="20"/>
  <c r="X13" i="20"/>
  <c r="X12" i="20"/>
  <c r="X11" i="20"/>
  <c r="X10" i="20"/>
  <c r="D10" i="20"/>
  <c r="X9" i="20"/>
  <c r="D9" i="20"/>
  <c r="X8" i="20"/>
  <c r="D8" i="20"/>
  <c r="X7" i="20"/>
  <c r="Q7" i="20"/>
  <c r="R7" i="20" s="1"/>
  <c r="D7" i="20"/>
  <c r="C7" i="20"/>
  <c r="D6" i="20"/>
  <c r="C6" i="20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V56" i="38"/>
  <c r="W58" i="38"/>
  <c r="W57" i="37"/>
  <c r="V54" i="37"/>
  <c r="Y53" i="37"/>
  <c r="Y55" i="36"/>
  <c r="W56" i="36"/>
  <c r="V53" i="35"/>
  <c r="Y52" i="35"/>
  <c r="W56" i="35"/>
  <c r="V54" i="34"/>
  <c r="Y53" i="34"/>
  <c r="W56" i="34"/>
  <c r="S90" i="31"/>
  <c r="W54" i="33"/>
  <c r="V51" i="33"/>
  <c r="Y50" i="33"/>
  <c r="W55" i="32"/>
  <c r="Y54" i="32"/>
  <c r="V27" i="31"/>
  <c r="Y26" i="31"/>
  <c r="W30" i="31"/>
  <c r="W29" i="30"/>
  <c r="V25" i="30"/>
  <c r="Y24" i="30"/>
  <c r="V10" i="29"/>
  <c r="W14" i="29"/>
  <c r="E18" i="20"/>
  <c r="U7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D74" i="20"/>
  <c r="I16" i="20"/>
  <c r="H16" i="20"/>
  <c r="E9" i="20"/>
  <c r="C9" i="20"/>
  <c r="D52" i="20"/>
  <c r="I17" i="20"/>
  <c r="H17" i="20"/>
  <c r="I14" i="20"/>
  <c r="H14" i="20"/>
  <c r="I15" i="20"/>
  <c r="H15" i="20"/>
  <c r="C26" i="20"/>
  <c r="E17" i="20"/>
  <c r="C24" i="20"/>
  <c r="E15" i="20"/>
  <c r="E8" i="20"/>
  <c r="H5" i="20"/>
  <c r="C25" i="20"/>
  <c r="E16" i="20"/>
  <c r="D50" i="20"/>
  <c r="I19" i="20"/>
  <c r="I57" i="20"/>
  <c r="W7" i="20"/>
  <c r="W8" i="20"/>
  <c r="D51" i="20"/>
  <c r="D53" i="20"/>
  <c r="C18" i="20"/>
  <c r="D48" i="20"/>
  <c r="D49" i="20"/>
  <c r="D102" i="20"/>
  <c r="D105" i="20"/>
  <c r="C23" i="20"/>
  <c r="I82" i="20"/>
  <c r="E56" i="20"/>
  <c r="V7" i="20"/>
  <c r="I83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D101" i="19"/>
  <c r="D100" i="19"/>
  <c r="H90" i="19"/>
  <c r="H89" i="19"/>
  <c r="D88" i="19"/>
  <c r="X66" i="19"/>
  <c r="X65" i="19"/>
  <c r="T64" i="19"/>
  <c r="X64" i="19"/>
  <c r="X63" i="19"/>
  <c r="X62" i="19"/>
  <c r="X61" i="19"/>
  <c r="X60" i="19"/>
  <c r="X59" i="19"/>
  <c r="X58" i="19"/>
  <c r="X57" i="19"/>
  <c r="X56" i="19"/>
  <c r="X55" i="19"/>
  <c r="X54" i="19"/>
  <c r="X53" i="19"/>
  <c r="T52" i="19"/>
  <c r="X52" i="19"/>
  <c r="X51" i="19"/>
  <c r="X50" i="19"/>
  <c r="X49" i="19"/>
  <c r="X48" i="19"/>
  <c r="X47" i="19"/>
  <c r="I47" i="19"/>
  <c r="D23" i="19"/>
  <c r="C23" i="19"/>
  <c r="E47" i="19"/>
  <c r="B47" i="19"/>
  <c r="X46" i="19"/>
  <c r="I46" i="19"/>
  <c r="D46" i="19"/>
  <c r="E46" i="19"/>
  <c r="B46" i="19"/>
  <c r="X45" i="19"/>
  <c r="I45" i="19"/>
  <c r="E45" i="19"/>
  <c r="B45" i="19"/>
  <c r="X44" i="19"/>
  <c r="I44" i="19"/>
  <c r="E44" i="19"/>
  <c r="S7" i="19"/>
  <c r="S8" i="19"/>
  <c r="D44" i="19"/>
  <c r="X43" i="19"/>
  <c r="X42" i="19"/>
  <c r="E42" i="19"/>
  <c r="X41" i="19"/>
  <c r="E41" i="19"/>
  <c r="T40" i="19"/>
  <c r="X40" i="19"/>
  <c r="X39" i="19"/>
  <c r="E39" i="19"/>
  <c r="X38" i="19"/>
  <c r="E38" i="19"/>
  <c r="X37" i="19"/>
  <c r="E37" i="19"/>
  <c r="I73" i="19"/>
  <c r="X36" i="19"/>
  <c r="L36" i="19"/>
  <c r="X35" i="19"/>
  <c r="L35" i="19"/>
  <c r="E35" i="19"/>
  <c r="X34" i="19"/>
  <c r="M34" i="19"/>
  <c r="L34" i="19"/>
  <c r="E34" i="19"/>
  <c r="I72" i="19"/>
  <c r="X33" i="19"/>
  <c r="M33" i="19"/>
  <c r="D91" i="19"/>
  <c r="L33" i="19"/>
  <c r="X32" i="19"/>
  <c r="M32" i="19"/>
  <c r="L32" i="19"/>
  <c r="X31" i="19"/>
  <c r="M31" i="19"/>
  <c r="L31" i="19"/>
  <c r="X30" i="19"/>
  <c r="M30" i="19"/>
  <c r="L30" i="19"/>
  <c r="X29" i="19"/>
  <c r="L29" i="19"/>
  <c r="T28" i="19"/>
  <c r="X28" i="19"/>
  <c r="X27" i="19"/>
  <c r="D27" i="19"/>
  <c r="X26" i="19"/>
  <c r="D26" i="19"/>
  <c r="C26" i="19"/>
  <c r="X25" i="19"/>
  <c r="X24" i="19"/>
  <c r="X23" i="19"/>
  <c r="X22" i="19"/>
  <c r="D22" i="19"/>
  <c r="C22" i="19"/>
  <c r="B22" i="19"/>
  <c r="X21" i="19"/>
  <c r="B21" i="19"/>
  <c r="X20" i="19"/>
  <c r="D20" i="19"/>
  <c r="C20" i="19"/>
  <c r="X19" i="19"/>
  <c r="X18" i="19"/>
  <c r="T17" i="19"/>
  <c r="X17" i="19"/>
  <c r="I17" i="19"/>
  <c r="X16" i="19"/>
  <c r="D16" i="19"/>
  <c r="C16" i="19"/>
  <c r="H15" i="19"/>
  <c r="B16" i="19"/>
  <c r="X15" i="19"/>
  <c r="D15" i="19"/>
  <c r="C15" i="19"/>
  <c r="H14" i="19"/>
  <c r="B15" i="19"/>
  <c r="X14" i="19"/>
  <c r="D14" i="19"/>
  <c r="C14" i="19"/>
  <c r="H13" i="19"/>
  <c r="B14" i="19"/>
  <c r="X13" i="19"/>
  <c r="X12" i="19"/>
  <c r="X11" i="19"/>
  <c r="X10" i="19"/>
  <c r="D10" i="19"/>
  <c r="X9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D9" i="19"/>
  <c r="E9" i="19"/>
  <c r="X8" i="19"/>
  <c r="D8" i="19"/>
  <c r="E8" i="19"/>
  <c r="X7" i="19"/>
  <c r="V7" i="19"/>
  <c r="Q7" i="19"/>
  <c r="Q8" i="19" s="1"/>
  <c r="D7" i="19"/>
  <c r="C7" i="19"/>
  <c r="D6" i="19"/>
  <c r="C6" i="19"/>
  <c r="W59" i="38"/>
  <c r="V57" i="38"/>
  <c r="V55" i="37"/>
  <c r="Y54" i="37"/>
  <c r="W58" i="37"/>
  <c r="W57" i="36"/>
  <c r="Y56" i="36"/>
  <c r="W57" i="35"/>
  <c r="V54" i="35"/>
  <c r="Y53" i="35"/>
  <c r="W57" i="34"/>
  <c r="V55" i="34"/>
  <c r="Y54" i="34"/>
  <c r="S91" i="31"/>
  <c r="V52" i="33"/>
  <c r="Y51" i="33"/>
  <c r="W55" i="33"/>
  <c r="Y55" i="32"/>
  <c r="W56" i="32"/>
  <c r="W31" i="31"/>
  <c r="V28" i="31"/>
  <c r="Y27" i="31"/>
  <c r="V26" i="30"/>
  <c r="Y25" i="30"/>
  <c r="W30" i="30"/>
  <c r="W15" i="29"/>
  <c r="V11" i="29"/>
  <c r="D76" i="20"/>
  <c r="C19" i="20" a="1"/>
  <c r="C19" i="20"/>
  <c r="D19" i="20"/>
  <c r="H102" i="20"/>
  <c r="H104" i="20"/>
  <c r="I104" i="20"/>
  <c r="D106" i="20"/>
  <c r="D107" i="20"/>
  <c r="D113" i="20"/>
  <c r="D78" i="20"/>
  <c r="D80" i="20"/>
  <c r="D82" i="20"/>
  <c r="I84" i="20"/>
  <c r="Y7" i="20"/>
  <c r="I72" i="20"/>
  <c r="I5" i="20"/>
  <c r="W9" i="20"/>
  <c r="D67" i="20"/>
  <c r="E57" i="20"/>
  <c r="D65" i="20"/>
  <c r="D68" i="20"/>
  <c r="D47" i="19"/>
  <c r="E16" i="19"/>
  <c r="E15" i="19"/>
  <c r="I50" i="19"/>
  <c r="D45" i="19"/>
  <c r="H91" i="19"/>
  <c r="H93" i="19"/>
  <c r="I74" i="19"/>
  <c r="Y7" i="19"/>
  <c r="D21" i="19"/>
  <c r="D65" i="19"/>
  <c r="D63" i="19"/>
  <c r="D69" i="19"/>
  <c r="D71" i="19"/>
  <c r="D87" i="19"/>
  <c r="D94" i="19"/>
  <c r="E49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V58" i="38"/>
  <c r="W60" i="38"/>
  <c r="W59" i="37"/>
  <c r="V56" i="37"/>
  <c r="Y55" i="37"/>
  <c r="Y57" i="36"/>
  <c r="W58" i="36"/>
  <c r="V55" i="35"/>
  <c r="Y54" i="35"/>
  <c r="W58" i="35"/>
  <c r="V56" i="34"/>
  <c r="Y55" i="34"/>
  <c r="W58" i="34"/>
  <c r="S92" i="31"/>
  <c r="W56" i="33"/>
  <c r="V53" i="33"/>
  <c r="Y52" i="33"/>
  <c r="W57" i="32"/>
  <c r="Y56" i="32"/>
  <c r="V29" i="31"/>
  <c r="Y28" i="31"/>
  <c r="W32" i="31"/>
  <c r="W31" i="30"/>
  <c r="V27" i="30"/>
  <c r="Y26" i="30"/>
  <c r="V12" i="29"/>
  <c r="W16" i="29"/>
  <c r="W10" i="20"/>
  <c r="D67" i="19"/>
  <c r="D58" i="19"/>
  <c r="E50" i="19"/>
  <c r="D56" i="19"/>
  <c r="D59" i="19"/>
  <c r="D95" i="19"/>
  <c r="D96" i="19"/>
  <c r="D102" i="19"/>
  <c r="E14" i="19"/>
  <c r="H5" i="19"/>
  <c r="C21" i="19"/>
  <c r="W61" i="38"/>
  <c r="V59" i="38"/>
  <c r="V57" i="37"/>
  <c r="Y56" i="37"/>
  <c r="W60" i="37"/>
  <c r="W59" i="36"/>
  <c r="Y58" i="36"/>
  <c r="W59" i="35"/>
  <c r="V56" i="35"/>
  <c r="Y55" i="35"/>
  <c r="W59" i="34"/>
  <c r="V57" i="34"/>
  <c r="Y56" i="34"/>
  <c r="S93" i="31"/>
  <c r="V54" i="33"/>
  <c r="Y53" i="33"/>
  <c r="W57" i="33"/>
  <c r="W58" i="32"/>
  <c r="Y57" i="32"/>
  <c r="W33" i="31"/>
  <c r="V30" i="31"/>
  <c r="Y29" i="31"/>
  <c r="V28" i="30"/>
  <c r="Y27" i="30"/>
  <c r="W32" i="30"/>
  <c r="W17" i="29"/>
  <c r="V13" i="29"/>
  <c r="W11" i="20"/>
  <c r="I5" i="19"/>
  <c r="I63" i="19"/>
  <c r="W62" i="38"/>
  <c r="V60" i="38"/>
  <c r="W61" i="37"/>
  <c r="V58" i="37"/>
  <c r="Y57" i="37"/>
  <c r="Y59" i="36"/>
  <c r="W60" i="36"/>
  <c r="V57" i="35"/>
  <c r="Y56" i="35"/>
  <c r="W60" i="35"/>
  <c r="V58" i="34"/>
  <c r="Y57" i="34"/>
  <c r="W60" i="34"/>
  <c r="S94" i="31"/>
  <c r="W58" i="33"/>
  <c r="V55" i="33"/>
  <c r="Y54" i="33"/>
  <c r="W59" i="32"/>
  <c r="Y58" i="32"/>
  <c r="V31" i="31"/>
  <c r="Y30" i="31"/>
  <c r="W34" i="31"/>
  <c r="W33" i="30"/>
  <c r="V29" i="30"/>
  <c r="Y28" i="30"/>
  <c r="V14" i="29"/>
  <c r="W18" i="29"/>
  <c r="W12" i="20"/>
  <c r="V61" i="38"/>
  <c r="W63" i="38"/>
  <c r="V59" i="37"/>
  <c r="Y58" i="37"/>
  <c r="W62" i="37"/>
  <c r="Y60" i="36"/>
  <c r="W61" i="36"/>
  <c r="V58" i="35"/>
  <c r="Y57" i="35"/>
  <c r="W61" i="35"/>
  <c r="W61" i="34"/>
  <c r="V59" i="34"/>
  <c r="Y58" i="34"/>
  <c r="S95" i="31"/>
  <c r="V56" i="33"/>
  <c r="Y55" i="33"/>
  <c r="W59" i="33"/>
  <c r="W60" i="32"/>
  <c r="Y59" i="32"/>
  <c r="W35" i="31"/>
  <c r="V32" i="31"/>
  <c r="Y31" i="31"/>
  <c r="W34" i="30"/>
  <c r="V30" i="30"/>
  <c r="Y29" i="30"/>
  <c r="W19" i="29"/>
  <c r="V15" i="29"/>
  <c r="W13" i="20"/>
  <c r="W64" i="38"/>
  <c r="V62" i="38"/>
  <c r="W63" i="37"/>
  <c r="V60" i="37"/>
  <c r="Y59" i="37"/>
  <c r="Y61" i="36"/>
  <c r="W62" i="36"/>
  <c r="W62" i="35"/>
  <c r="V59" i="35"/>
  <c r="Y58" i="35"/>
  <c r="V60" i="34"/>
  <c r="Y59" i="34"/>
  <c r="W62" i="34"/>
  <c r="S96" i="31"/>
  <c r="W60" i="33"/>
  <c r="V57" i="33"/>
  <c r="Y56" i="33"/>
  <c r="W61" i="32"/>
  <c r="Y60" i="32"/>
  <c r="V33" i="31"/>
  <c r="Y32" i="31"/>
  <c r="W36" i="31"/>
  <c r="V31" i="30"/>
  <c r="Y30" i="30"/>
  <c r="W35" i="30"/>
  <c r="V16" i="29"/>
  <c r="W20" i="29"/>
  <c r="W14" i="20"/>
  <c r="V63" i="38"/>
  <c r="W65" i="38"/>
  <c r="V61" i="37"/>
  <c r="Y60" i="37"/>
  <c r="W64" i="37"/>
  <c r="Y62" i="36"/>
  <c r="W63" i="36"/>
  <c r="V60" i="35"/>
  <c r="Y59" i="35"/>
  <c r="W63" i="35"/>
  <c r="W63" i="34"/>
  <c r="V61" i="34"/>
  <c r="Y60" i="34"/>
  <c r="S97" i="31"/>
  <c r="V58" i="33"/>
  <c r="Y57" i="33"/>
  <c r="W61" i="33"/>
  <c r="W62" i="32"/>
  <c r="Y61" i="32"/>
  <c r="W37" i="31"/>
  <c r="V34" i="31"/>
  <c r="Y33" i="31"/>
  <c r="W36" i="30"/>
  <c r="V32" i="30"/>
  <c r="Y31" i="30"/>
  <c r="W21" i="29"/>
  <c r="V17" i="29"/>
  <c r="W15" i="20"/>
  <c r="W66" i="38"/>
  <c r="V64" i="38"/>
  <c r="W65" i="37"/>
  <c r="V62" i="37"/>
  <c r="Y61" i="37"/>
  <c r="Y63" i="36"/>
  <c r="W64" i="36"/>
  <c r="W64" i="35"/>
  <c r="V61" i="35"/>
  <c r="Y60" i="35"/>
  <c r="V62" i="34"/>
  <c r="Y61" i="34"/>
  <c r="W64" i="34"/>
  <c r="S98" i="31"/>
  <c r="W62" i="33"/>
  <c r="V59" i="33"/>
  <c r="Y58" i="33"/>
  <c r="W63" i="32"/>
  <c r="Y62" i="32"/>
  <c r="V35" i="31"/>
  <c r="Y34" i="31"/>
  <c r="W38" i="31"/>
  <c r="V33" i="30"/>
  <c r="Y32" i="30"/>
  <c r="W37" i="30"/>
  <c r="W22" i="29"/>
  <c r="V18" i="29"/>
  <c r="W16" i="20"/>
  <c r="M73" i="18"/>
  <c r="M74" i="18"/>
  <c r="M72" i="18"/>
  <c r="V65" i="38"/>
  <c r="V63" i="37"/>
  <c r="Y62" i="37"/>
  <c r="W66" i="37"/>
  <c r="W65" i="36"/>
  <c r="Y64" i="36"/>
  <c r="V62" i="35"/>
  <c r="Y61" i="35"/>
  <c r="W65" i="35"/>
  <c r="W65" i="34"/>
  <c r="V63" i="34"/>
  <c r="Y62" i="34"/>
  <c r="S99" i="31"/>
  <c r="V60" i="33"/>
  <c r="Y59" i="33"/>
  <c r="W63" i="33"/>
  <c r="W64" i="32"/>
  <c r="Y63" i="32"/>
  <c r="W39" i="31"/>
  <c r="V36" i="31"/>
  <c r="Y35" i="31"/>
  <c r="W38" i="30"/>
  <c r="V34" i="30"/>
  <c r="Y33" i="30"/>
  <c r="W23" i="29"/>
  <c r="V19" i="29"/>
  <c r="W17" i="20"/>
  <c r="D101" i="18"/>
  <c r="H90" i="18"/>
  <c r="H89" i="18"/>
  <c r="D87" i="18"/>
  <c r="X66" i="18"/>
  <c r="X65" i="18"/>
  <c r="D65" i="18"/>
  <c r="T64" i="18"/>
  <c r="X64" i="18"/>
  <c r="X63" i="18"/>
  <c r="X62" i="18"/>
  <c r="X61" i="18"/>
  <c r="X60" i="18"/>
  <c r="X59" i="18"/>
  <c r="X58" i="18"/>
  <c r="X57" i="18"/>
  <c r="X56" i="18"/>
  <c r="X55" i="18"/>
  <c r="X54" i="18"/>
  <c r="X53" i="18"/>
  <c r="T52" i="18"/>
  <c r="X52" i="18"/>
  <c r="X51" i="18"/>
  <c r="X50" i="18"/>
  <c r="X49" i="18"/>
  <c r="X48" i="18"/>
  <c r="X47" i="18"/>
  <c r="I47" i="18"/>
  <c r="D23" i="18"/>
  <c r="E16" i="18"/>
  <c r="E47" i="18"/>
  <c r="S7" i="18"/>
  <c r="B47" i="18"/>
  <c r="X46" i="18"/>
  <c r="I46" i="18"/>
  <c r="D46" i="18"/>
  <c r="E46" i="18"/>
  <c r="B46" i="18"/>
  <c r="X45" i="18"/>
  <c r="I45" i="18"/>
  <c r="D21" i="18"/>
  <c r="C21" i="18"/>
  <c r="E45" i="18"/>
  <c r="B45" i="18"/>
  <c r="X44" i="18"/>
  <c r="I44" i="18"/>
  <c r="E44" i="18"/>
  <c r="X43" i="18"/>
  <c r="X42" i="18"/>
  <c r="E42" i="18"/>
  <c r="X41" i="18"/>
  <c r="E41" i="18"/>
  <c r="X40" i="18"/>
  <c r="T40" i="18"/>
  <c r="X39" i="18"/>
  <c r="E39" i="18"/>
  <c r="X38" i="18"/>
  <c r="E38" i="18"/>
  <c r="X37" i="18"/>
  <c r="E37" i="18"/>
  <c r="X36" i="18"/>
  <c r="L36" i="18"/>
  <c r="X35" i="18"/>
  <c r="L35" i="18"/>
  <c r="E35" i="18"/>
  <c r="X34" i="18"/>
  <c r="M34" i="18"/>
  <c r="L34" i="18"/>
  <c r="E34" i="18"/>
  <c r="X33" i="18"/>
  <c r="M33" i="18"/>
  <c r="D91" i="18"/>
  <c r="L33" i="18"/>
  <c r="X32" i="18"/>
  <c r="M32" i="18"/>
  <c r="L32" i="18"/>
  <c r="X31" i="18"/>
  <c r="M31" i="18"/>
  <c r="L31" i="18"/>
  <c r="X30" i="18"/>
  <c r="M30" i="18"/>
  <c r="L30" i="18"/>
  <c r="X29" i="18"/>
  <c r="L29" i="18"/>
  <c r="X28" i="18"/>
  <c r="T28" i="18"/>
  <c r="X27" i="18"/>
  <c r="D27" i="18"/>
  <c r="X26" i="18"/>
  <c r="D26" i="18"/>
  <c r="C26" i="18"/>
  <c r="X25" i="18"/>
  <c r="X24" i="18"/>
  <c r="X23" i="18"/>
  <c r="X22" i="18"/>
  <c r="B22" i="18"/>
  <c r="X21" i="18"/>
  <c r="B21" i="18"/>
  <c r="X20" i="18"/>
  <c r="D20" i="18"/>
  <c r="C20" i="18"/>
  <c r="X19" i="18"/>
  <c r="X18" i="18"/>
  <c r="X17" i="18"/>
  <c r="T17" i="18"/>
  <c r="X16" i="18"/>
  <c r="D16" i="18"/>
  <c r="C16" i="18"/>
  <c r="B16" i="18"/>
  <c r="X15" i="18"/>
  <c r="H15" i="18"/>
  <c r="D15" i="18"/>
  <c r="C15" i="18"/>
  <c r="H14" i="18"/>
  <c r="B15" i="18"/>
  <c r="X14" i="18"/>
  <c r="D14" i="18"/>
  <c r="B14" i="18"/>
  <c r="X13" i="18"/>
  <c r="X12" i="18"/>
  <c r="X11" i="18"/>
  <c r="X10" i="18"/>
  <c r="D10" i="18"/>
  <c r="X9" i="18"/>
  <c r="D9" i="18"/>
  <c r="E9" i="18"/>
  <c r="X8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60" i="18"/>
  <c r="S61" i="18"/>
  <c r="S62" i="18"/>
  <c r="S63" i="18"/>
  <c r="S64" i="18"/>
  <c r="S65" i="18"/>
  <c r="S66" i="18"/>
  <c r="D8" i="18"/>
  <c r="E8" i="18"/>
  <c r="X7" i="18"/>
  <c r="Q7" i="18"/>
  <c r="R7" i="18" s="1"/>
  <c r="D7" i="18"/>
  <c r="C7" i="18"/>
  <c r="D6" i="18"/>
  <c r="C6" i="18"/>
  <c r="I45" i="17"/>
  <c r="I46" i="17"/>
  <c r="I47" i="17"/>
  <c r="V66" i="38"/>
  <c r="V64" i="37"/>
  <c r="Y63" i="37"/>
  <c r="W66" i="36"/>
  <c r="Y66" i="36"/>
  <c r="Y65" i="36"/>
  <c r="W66" i="35"/>
  <c r="V63" i="35"/>
  <c r="Y62" i="35"/>
  <c r="V64" i="34"/>
  <c r="Y63" i="34"/>
  <c r="W66" i="34"/>
  <c r="S100" i="31"/>
  <c r="W64" i="33"/>
  <c r="V61" i="33"/>
  <c r="Y60" i="33"/>
  <c r="Y64" i="32"/>
  <c r="W65" i="32"/>
  <c r="V37" i="31"/>
  <c r="Y36" i="31"/>
  <c r="W40" i="31"/>
  <c r="V35" i="30"/>
  <c r="Y34" i="30"/>
  <c r="W39" i="30"/>
  <c r="V20" i="29"/>
  <c r="W24" i="29"/>
  <c r="W18" i="20"/>
  <c r="D22" i="18"/>
  <c r="C22" i="18"/>
  <c r="C23" i="18"/>
  <c r="E15" i="18"/>
  <c r="E14" i="18"/>
  <c r="I50" i="18"/>
  <c r="W7" i="18"/>
  <c r="D44" i="18"/>
  <c r="D63" i="18"/>
  <c r="D69" i="18"/>
  <c r="D71" i="18"/>
  <c r="D94" i="18"/>
  <c r="I73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E49" i="18"/>
  <c r="D100" i="18"/>
  <c r="I17" i="18"/>
  <c r="C14" i="18"/>
  <c r="H13" i="18"/>
  <c r="D47" i="18"/>
  <c r="H5" i="18"/>
  <c r="D88" i="18"/>
  <c r="V7" i="18"/>
  <c r="I72" i="18"/>
  <c r="D45" i="18"/>
  <c r="H91" i="18"/>
  <c r="H93" i="18"/>
  <c r="D16" i="17"/>
  <c r="B16" i="17"/>
  <c r="B47" i="17"/>
  <c r="H90" i="17"/>
  <c r="H89" i="17"/>
  <c r="X66" i="17"/>
  <c r="X65" i="17"/>
  <c r="T64" i="17"/>
  <c r="X64" i="17"/>
  <c r="X63" i="17"/>
  <c r="X62" i="17"/>
  <c r="X61" i="17"/>
  <c r="X60" i="17"/>
  <c r="X59" i="17"/>
  <c r="X58" i="17"/>
  <c r="X57" i="17"/>
  <c r="X56" i="17"/>
  <c r="X55" i="17"/>
  <c r="X54" i="17"/>
  <c r="X53" i="17"/>
  <c r="T52" i="17"/>
  <c r="X52" i="17"/>
  <c r="X51" i="17"/>
  <c r="X50" i="17"/>
  <c r="X49" i="17"/>
  <c r="X48" i="17"/>
  <c r="X47" i="17"/>
  <c r="D23" i="17"/>
  <c r="C23" i="17"/>
  <c r="E47" i="17"/>
  <c r="D47" i="17"/>
  <c r="X46" i="17"/>
  <c r="D22" i="17"/>
  <c r="C22" i="17"/>
  <c r="E46" i="17"/>
  <c r="D46" i="17"/>
  <c r="B46" i="17"/>
  <c r="X45" i="17"/>
  <c r="E45" i="17"/>
  <c r="B45" i="17"/>
  <c r="X44" i="17"/>
  <c r="I44" i="17"/>
  <c r="E44" i="17"/>
  <c r="D44" i="17"/>
  <c r="X43" i="17"/>
  <c r="X42" i="17"/>
  <c r="E42" i="17"/>
  <c r="X41" i="17"/>
  <c r="E41" i="17"/>
  <c r="T40" i="17"/>
  <c r="X40" i="17"/>
  <c r="X39" i="17"/>
  <c r="E39" i="17"/>
  <c r="X38" i="17"/>
  <c r="E38" i="17"/>
  <c r="X37" i="17"/>
  <c r="E37" i="17"/>
  <c r="X36" i="17"/>
  <c r="L36" i="17"/>
  <c r="X35" i="17"/>
  <c r="L35" i="17"/>
  <c r="E35" i="17"/>
  <c r="X34" i="17"/>
  <c r="M34" i="17"/>
  <c r="D100" i="17"/>
  <c r="L34" i="17"/>
  <c r="E34" i="17"/>
  <c r="X33" i="17"/>
  <c r="M33" i="17"/>
  <c r="L33" i="17"/>
  <c r="X32" i="17"/>
  <c r="M32" i="17"/>
  <c r="L32" i="17"/>
  <c r="X31" i="17"/>
  <c r="M31" i="17"/>
  <c r="D88" i="17"/>
  <c r="L31" i="17"/>
  <c r="X30" i="17"/>
  <c r="M30" i="17"/>
  <c r="D87" i="17"/>
  <c r="L30" i="17"/>
  <c r="X29" i="17"/>
  <c r="L29" i="17"/>
  <c r="T28" i="17"/>
  <c r="X28" i="17"/>
  <c r="X27" i="17"/>
  <c r="D27" i="17"/>
  <c r="X26" i="17"/>
  <c r="D26" i="17"/>
  <c r="C26" i="17"/>
  <c r="X25" i="17"/>
  <c r="X24" i="17"/>
  <c r="X23" i="17"/>
  <c r="X22" i="17"/>
  <c r="B22" i="17"/>
  <c r="X21" i="17"/>
  <c r="B21" i="17"/>
  <c r="X20" i="17"/>
  <c r="D20" i="17"/>
  <c r="X19" i="17"/>
  <c r="X18" i="17"/>
  <c r="T17" i="17"/>
  <c r="X17" i="17"/>
  <c r="X16" i="17"/>
  <c r="X15" i="17"/>
  <c r="D15" i="17"/>
  <c r="C15" i="17"/>
  <c r="B15" i="17"/>
  <c r="X14" i="17"/>
  <c r="D14" i="17"/>
  <c r="C14" i="17"/>
  <c r="B14" i="17"/>
  <c r="X13" i="17"/>
  <c r="X12" i="17"/>
  <c r="X11" i="17"/>
  <c r="X10" i="17"/>
  <c r="D10" i="17"/>
  <c r="X9" i="17"/>
  <c r="D9" i="17"/>
  <c r="E9" i="17"/>
  <c r="X8" i="17"/>
  <c r="D8" i="17"/>
  <c r="E8" i="17"/>
  <c r="X7" i="17"/>
  <c r="Q7" i="17"/>
  <c r="Q8" i="17" s="1"/>
  <c r="R8" i="17" s="1"/>
  <c r="D7" i="17"/>
  <c r="C7" i="17"/>
  <c r="D6" i="17"/>
  <c r="C6" i="17"/>
  <c r="C85" i="15"/>
  <c r="C87" i="15"/>
  <c r="I72" i="15"/>
  <c r="I71" i="15"/>
  <c r="I73" i="15"/>
  <c r="X66" i="15"/>
  <c r="X65" i="15"/>
  <c r="T64" i="15"/>
  <c r="X64" i="15"/>
  <c r="D64" i="15"/>
  <c r="X63" i="15"/>
  <c r="X62" i="15"/>
  <c r="D62" i="15"/>
  <c r="D68" i="15"/>
  <c r="D70" i="15"/>
  <c r="X61" i="15"/>
  <c r="X60" i="15"/>
  <c r="X59" i="15"/>
  <c r="X58" i="15"/>
  <c r="X57" i="15"/>
  <c r="X56" i="15"/>
  <c r="X55" i="15"/>
  <c r="X54" i="15"/>
  <c r="X53" i="15"/>
  <c r="X52" i="15"/>
  <c r="T52" i="15"/>
  <c r="X51" i="15"/>
  <c r="X50" i="15"/>
  <c r="X49" i="15"/>
  <c r="E49" i="15"/>
  <c r="X48" i="15"/>
  <c r="X47" i="15"/>
  <c r="I47" i="15"/>
  <c r="E47" i="15"/>
  <c r="D47" i="15"/>
  <c r="X46" i="15"/>
  <c r="I46" i="15"/>
  <c r="D22" i="15"/>
  <c r="C22" i="15"/>
  <c r="E46" i="15"/>
  <c r="D46" i="15"/>
  <c r="B46" i="15"/>
  <c r="X45" i="15"/>
  <c r="I45" i="15"/>
  <c r="I50" i="15"/>
  <c r="W7" i="15"/>
  <c r="E45" i="15"/>
  <c r="S7" i="15"/>
  <c r="S8" i="15"/>
  <c r="S9" i="15"/>
  <c r="S10" i="15"/>
  <c r="S11" i="15"/>
  <c r="S12" i="15"/>
  <c r="S13" i="15"/>
  <c r="S14" i="15"/>
  <c r="S15" i="15"/>
  <c r="S16" i="15"/>
  <c r="S17" i="15"/>
  <c r="B45" i="15"/>
  <c r="X44" i="15"/>
  <c r="I44" i="15"/>
  <c r="E44" i="15"/>
  <c r="D44" i="15"/>
  <c r="X43" i="15"/>
  <c r="X42" i="15"/>
  <c r="E42" i="15"/>
  <c r="X41" i="15"/>
  <c r="E41" i="15"/>
  <c r="T40" i="15"/>
  <c r="X40" i="15"/>
  <c r="X39" i="15"/>
  <c r="E39" i="15"/>
  <c r="X38" i="15"/>
  <c r="E38" i="15"/>
  <c r="X37" i="15"/>
  <c r="E37" i="15"/>
  <c r="X36" i="15"/>
  <c r="L36" i="15"/>
  <c r="X35" i="15"/>
  <c r="L35" i="15"/>
  <c r="E35" i="15"/>
  <c r="X34" i="15"/>
  <c r="M34" i="15"/>
  <c r="L34" i="15"/>
  <c r="E34" i="15"/>
  <c r="X33" i="15"/>
  <c r="M33" i="15"/>
  <c r="L33" i="15"/>
  <c r="X32" i="15"/>
  <c r="M32" i="15"/>
  <c r="L32" i="15"/>
  <c r="X31" i="15"/>
  <c r="M31" i="15"/>
  <c r="L31" i="15"/>
  <c r="X30" i="15"/>
  <c r="M30" i="15"/>
  <c r="L30" i="15"/>
  <c r="X29" i="15"/>
  <c r="L29" i="15"/>
  <c r="T28" i="15"/>
  <c r="X28" i="15"/>
  <c r="X27" i="15"/>
  <c r="D27" i="15"/>
  <c r="X26" i="15"/>
  <c r="D26" i="15"/>
  <c r="C26" i="15"/>
  <c r="X25" i="15"/>
  <c r="X24" i="15"/>
  <c r="X23" i="15"/>
  <c r="D23" i="15"/>
  <c r="C23" i="15"/>
  <c r="X22" i="15"/>
  <c r="B22" i="15"/>
  <c r="X21" i="15"/>
  <c r="B21" i="15"/>
  <c r="X20" i="15"/>
  <c r="D20" i="15"/>
  <c r="X19" i="15"/>
  <c r="X18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T17" i="15"/>
  <c r="X17" i="15"/>
  <c r="X16" i="15"/>
  <c r="X15" i="15"/>
  <c r="D15" i="15"/>
  <c r="C15" i="15"/>
  <c r="H15" i="15"/>
  <c r="B15" i="15"/>
  <c r="X14" i="15"/>
  <c r="D14" i="15"/>
  <c r="C14" i="15"/>
  <c r="H14" i="15"/>
  <c r="B14" i="15"/>
  <c r="X13" i="15"/>
  <c r="X12" i="15"/>
  <c r="X11" i="15"/>
  <c r="X10" i="15"/>
  <c r="D10" i="15"/>
  <c r="X9" i="15"/>
  <c r="D9" i="15"/>
  <c r="E9" i="15"/>
  <c r="X8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D8" i="15"/>
  <c r="E8" i="15"/>
  <c r="X7" i="15"/>
  <c r="V7" i="15"/>
  <c r="U7" i="15"/>
  <c r="Q7" i="15"/>
  <c r="D7" i="15"/>
  <c r="C7" i="15"/>
  <c r="D6" i="15"/>
  <c r="I17" i="15"/>
  <c r="C6" i="15"/>
  <c r="I71" i="13"/>
  <c r="X66" i="13"/>
  <c r="X65" i="13"/>
  <c r="T64" i="13"/>
  <c r="X64" i="13"/>
  <c r="X63" i="13"/>
  <c r="X62" i="13"/>
  <c r="X61" i="13"/>
  <c r="X60" i="13"/>
  <c r="X59" i="13"/>
  <c r="X58" i="13"/>
  <c r="X57" i="13"/>
  <c r="X56" i="13"/>
  <c r="X55" i="13"/>
  <c r="X54" i="13"/>
  <c r="X53" i="13"/>
  <c r="X52" i="13"/>
  <c r="T52" i="13"/>
  <c r="X51" i="13"/>
  <c r="X50" i="13"/>
  <c r="X49" i="13"/>
  <c r="X48" i="13"/>
  <c r="X47" i="13"/>
  <c r="I47" i="13"/>
  <c r="E47" i="13"/>
  <c r="D47" i="13"/>
  <c r="X46" i="13"/>
  <c r="I46" i="13"/>
  <c r="D22" i="13"/>
  <c r="C22" i="13"/>
  <c r="E4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B46" i="13"/>
  <c r="X45" i="13"/>
  <c r="I45" i="13"/>
  <c r="E45" i="13"/>
  <c r="B45" i="13"/>
  <c r="X44" i="13"/>
  <c r="I44" i="13"/>
  <c r="E44" i="13"/>
  <c r="D64" i="13"/>
  <c r="D44" i="13"/>
  <c r="X43" i="13"/>
  <c r="X42" i="13"/>
  <c r="E42" i="13"/>
  <c r="X41" i="13"/>
  <c r="E41" i="13"/>
  <c r="T40" i="13"/>
  <c r="X40" i="13"/>
  <c r="X39" i="13"/>
  <c r="E39" i="13"/>
  <c r="X38" i="13"/>
  <c r="E38" i="13"/>
  <c r="X37" i="13"/>
  <c r="E37" i="13"/>
  <c r="X36" i="13"/>
  <c r="L36" i="13"/>
  <c r="X35" i="13"/>
  <c r="L35" i="13"/>
  <c r="E35" i="13"/>
  <c r="X34" i="13"/>
  <c r="M34" i="13"/>
  <c r="L34" i="13"/>
  <c r="E34" i="13"/>
  <c r="V7" i="13"/>
  <c r="X33" i="13"/>
  <c r="M33" i="13"/>
  <c r="L33" i="13"/>
  <c r="X32" i="13"/>
  <c r="M32" i="13"/>
  <c r="L32" i="13"/>
  <c r="X31" i="13"/>
  <c r="M31" i="13"/>
  <c r="L31" i="13"/>
  <c r="X30" i="13"/>
  <c r="M30" i="13"/>
  <c r="L30" i="13"/>
  <c r="X29" i="13"/>
  <c r="L29" i="13"/>
  <c r="T28" i="13"/>
  <c r="X28" i="13"/>
  <c r="X27" i="13"/>
  <c r="D27" i="13"/>
  <c r="X26" i="13"/>
  <c r="D26" i="13"/>
  <c r="C26" i="13"/>
  <c r="X25" i="13"/>
  <c r="X24" i="13"/>
  <c r="X23" i="13"/>
  <c r="D23" i="13"/>
  <c r="C23" i="13"/>
  <c r="X22" i="13"/>
  <c r="B22" i="13"/>
  <c r="X21" i="13"/>
  <c r="B21" i="13"/>
  <c r="X20" i="13"/>
  <c r="D20" i="13"/>
  <c r="X19" i="13"/>
  <c r="X18" i="13"/>
  <c r="T17" i="13"/>
  <c r="X17" i="13"/>
  <c r="X16" i="13"/>
  <c r="X15" i="13"/>
  <c r="D15" i="13"/>
  <c r="B15" i="13"/>
  <c r="X14" i="13"/>
  <c r="D14" i="13"/>
  <c r="C14" i="13"/>
  <c r="H14" i="13"/>
  <c r="B14" i="13"/>
  <c r="X13" i="13"/>
  <c r="X12" i="13"/>
  <c r="X11" i="13"/>
  <c r="X10" i="13"/>
  <c r="D10" i="13"/>
  <c r="X9" i="13"/>
  <c r="D9" i="13"/>
  <c r="E9" i="13"/>
  <c r="X8" i="13"/>
  <c r="E8" i="13"/>
  <c r="D8" i="13"/>
  <c r="X7" i="13"/>
  <c r="Q7" i="13"/>
  <c r="Q8" i="13" s="1"/>
  <c r="D7" i="13"/>
  <c r="C7" i="13"/>
  <c r="D6" i="13"/>
  <c r="C6" i="13"/>
  <c r="W10" i="1"/>
  <c r="W11" i="1"/>
  <c r="W12" i="1"/>
  <c r="W13" i="1"/>
  <c r="W14" i="1"/>
  <c r="W15" i="1"/>
  <c r="W16" i="1"/>
  <c r="W17" i="1"/>
  <c r="W9" i="1"/>
  <c r="W8" i="1"/>
  <c r="X66" i="1"/>
  <c r="X65" i="1"/>
  <c r="X63" i="1"/>
  <c r="X62" i="1"/>
  <c r="X61" i="1"/>
  <c r="X60" i="1"/>
  <c r="X59" i="1"/>
  <c r="X58" i="1"/>
  <c r="X57" i="1"/>
  <c r="X56" i="1"/>
  <c r="X55" i="1"/>
  <c r="X54" i="1"/>
  <c r="X53" i="1"/>
  <c r="X51" i="1"/>
  <c r="X50" i="1"/>
  <c r="X49" i="1"/>
  <c r="X48" i="1"/>
  <c r="X47" i="1"/>
  <c r="X46" i="1"/>
  <c r="X45" i="1"/>
  <c r="X44" i="1"/>
  <c r="X43" i="1"/>
  <c r="X42" i="1"/>
  <c r="X41" i="1"/>
  <c r="X39" i="1"/>
  <c r="X38" i="1"/>
  <c r="X37" i="1"/>
  <c r="X36" i="1"/>
  <c r="X35" i="1"/>
  <c r="X34" i="1"/>
  <c r="X33" i="1"/>
  <c r="X32" i="1"/>
  <c r="X31" i="1"/>
  <c r="X30" i="1"/>
  <c r="X29" i="1"/>
  <c r="X27" i="1"/>
  <c r="X26" i="1"/>
  <c r="X25" i="1"/>
  <c r="X24" i="1"/>
  <c r="X23" i="1"/>
  <c r="X22" i="1"/>
  <c r="X21" i="1"/>
  <c r="X20" i="1"/>
  <c r="X19" i="1"/>
  <c r="X18" i="1"/>
  <c r="X16" i="1"/>
  <c r="X15" i="1"/>
  <c r="X14" i="1"/>
  <c r="X13" i="1"/>
  <c r="X12" i="1"/>
  <c r="X11" i="1"/>
  <c r="X10" i="1"/>
  <c r="X9" i="1"/>
  <c r="X8" i="1"/>
  <c r="X7" i="1"/>
  <c r="T64" i="1"/>
  <c r="X64" i="1"/>
  <c r="T52" i="1"/>
  <c r="X52" i="1"/>
  <c r="T40" i="1"/>
  <c r="X40" i="1"/>
  <c r="T28" i="1"/>
  <c r="X28" i="1"/>
  <c r="T17" i="1"/>
  <c r="X17" i="1"/>
  <c r="E34" i="12"/>
  <c r="E44" i="12"/>
  <c r="I47" i="12"/>
  <c r="D23" i="12"/>
  <c r="C23" i="12"/>
  <c r="E47" i="12"/>
  <c r="I46" i="12"/>
  <c r="E46" i="12"/>
  <c r="D46" i="12"/>
  <c r="B46" i="12"/>
  <c r="I45" i="12"/>
  <c r="E45" i="12"/>
  <c r="B45" i="12"/>
  <c r="I44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E42" i="12"/>
  <c r="E41" i="12"/>
  <c r="E39" i="12"/>
  <c r="E38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E37" i="12"/>
  <c r="L36" i="12"/>
  <c r="L35" i="12"/>
  <c r="E35" i="12"/>
  <c r="M34" i="12"/>
  <c r="L34" i="12"/>
  <c r="M33" i="12"/>
  <c r="L33" i="12"/>
  <c r="M32" i="12"/>
  <c r="L32" i="12"/>
  <c r="M31" i="12"/>
  <c r="L31" i="12"/>
  <c r="M30" i="12"/>
  <c r="L30" i="12"/>
  <c r="L29" i="12"/>
  <c r="D27" i="12"/>
  <c r="D26" i="12"/>
  <c r="C26" i="12"/>
  <c r="D22" i="12"/>
  <c r="C22" i="12"/>
  <c r="B22" i="12"/>
  <c r="B21" i="12"/>
  <c r="D20" i="12"/>
  <c r="C20" i="12"/>
  <c r="D15" i="12"/>
  <c r="E15" i="12"/>
  <c r="C15" i="12"/>
  <c r="H15" i="12"/>
  <c r="B15" i="12"/>
  <c r="H14" i="12"/>
  <c r="D14" i="12"/>
  <c r="C14" i="12"/>
  <c r="B14" i="12"/>
  <c r="D10" i="12"/>
  <c r="D9" i="12"/>
  <c r="E9" i="12"/>
  <c r="D8" i="12"/>
  <c r="E8" i="12"/>
  <c r="Q7" i="12"/>
  <c r="Q8" i="12" s="1"/>
  <c r="Q9" i="12" s="1"/>
  <c r="R9" i="12" s="1"/>
  <c r="D7" i="12"/>
  <c r="C7" i="12"/>
  <c r="D6" i="12"/>
  <c r="I17" i="12"/>
  <c r="C6" i="12"/>
  <c r="N65" i="11"/>
  <c r="N64" i="11"/>
  <c r="I47" i="11"/>
  <c r="D47" i="11"/>
  <c r="E47" i="11"/>
  <c r="I46" i="11"/>
  <c r="E46" i="11"/>
  <c r="D46" i="11"/>
  <c r="B46" i="11"/>
  <c r="I45" i="11"/>
  <c r="D21" i="11"/>
  <c r="C21" i="11"/>
  <c r="E45" i="11"/>
  <c r="B45" i="11"/>
  <c r="I44" i="11"/>
  <c r="E44" i="11"/>
  <c r="D44" i="11"/>
  <c r="E42" i="11"/>
  <c r="E41" i="11"/>
  <c r="E39" i="11"/>
  <c r="E38" i="11"/>
  <c r="E37" i="11"/>
  <c r="L36" i="11"/>
  <c r="L35" i="11"/>
  <c r="E35" i="11"/>
  <c r="M34" i="11"/>
  <c r="L34" i="11"/>
  <c r="E34" i="11"/>
  <c r="T7" i="11"/>
  <c r="M33" i="11"/>
  <c r="L33" i="11"/>
  <c r="M32" i="11"/>
  <c r="L32" i="11"/>
  <c r="M31" i="11"/>
  <c r="L31" i="11"/>
  <c r="M30" i="11"/>
  <c r="L30" i="11"/>
  <c r="L29" i="11"/>
  <c r="D27" i="11"/>
  <c r="D26" i="11"/>
  <c r="C26" i="11"/>
  <c r="D22" i="11"/>
  <c r="C22" i="11"/>
  <c r="B22" i="11"/>
  <c r="B21" i="11"/>
  <c r="D20" i="11"/>
  <c r="C20" i="11"/>
  <c r="D15" i="11"/>
  <c r="C15" i="11"/>
  <c r="B15" i="11"/>
  <c r="D14" i="11"/>
  <c r="C14" i="11"/>
  <c r="B14" i="11"/>
  <c r="D10" i="11"/>
  <c r="D9" i="11"/>
  <c r="E9" i="11"/>
  <c r="E8" i="11"/>
  <c r="D8" i="11"/>
  <c r="P7" i="11"/>
  <c r="Q7" i="11" s="1"/>
  <c r="D7" i="11"/>
  <c r="C7" i="11"/>
  <c r="D6" i="11"/>
  <c r="C6" i="11"/>
  <c r="I47" i="10"/>
  <c r="E47" i="10"/>
  <c r="D47" i="10"/>
  <c r="I46" i="10"/>
  <c r="E46" i="10"/>
  <c r="D46" i="10"/>
  <c r="B46" i="10"/>
  <c r="I45" i="10"/>
  <c r="E45" i="10"/>
  <c r="B45" i="10"/>
  <c r="I44" i="10"/>
  <c r="E44" i="10"/>
  <c r="D44" i="10"/>
  <c r="E42" i="10"/>
  <c r="E41" i="10"/>
  <c r="E39" i="10"/>
  <c r="E38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E37" i="10"/>
  <c r="L36" i="10"/>
  <c r="L35" i="10"/>
  <c r="E35" i="10"/>
  <c r="M34" i="10"/>
  <c r="L34" i="10"/>
  <c r="E34" i="10"/>
  <c r="U7" i="10"/>
  <c r="M33" i="10"/>
  <c r="L33" i="10"/>
  <c r="M32" i="10"/>
  <c r="L32" i="10"/>
  <c r="M31" i="10"/>
  <c r="L31" i="10"/>
  <c r="M30" i="10"/>
  <c r="L30" i="10"/>
  <c r="L29" i="10"/>
  <c r="D27" i="10"/>
  <c r="D26" i="10"/>
  <c r="C26" i="10"/>
  <c r="D23" i="10"/>
  <c r="C23" i="10"/>
  <c r="D22" i="10"/>
  <c r="C22" i="10"/>
  <c r="B22" i="10"/>
  <c r="B21" i="10"/>
  <c r="M20" i="10"/>
  <c r="D20" i="10"/>
  <c r="C20" i="10"/>
  <c r="D15" i="10"/>
  <c r="E15" i="10"/>
  <c r="C15" i="10"/>
  <c r="H15" i="10"/>
  <c r="B15" i="10"/>
  <c r="H14" i="10"/>
  <c r="D14" i="10"/>
  <c r="C14" i="10"/>
  <c r="B14" i="10"/>
  <c r="D10" i="10"/>
  <c r="D9" i="10"/>
  <c r="E9" i="10"/>
  <c r="D8" i="10"/>
  <c r="E8" i="10"/>
  <c r="Q7" i="10"/>
  <c r="Q8" i="10" s="1"/>
  <c r="Q9" i="10" s="1"/>
  <c r="D7" i="10"/>
  <c r="C7" i="10"/>
  <c r="D6" i="10"/>
  <c r="C6" i="10"/>
  <c r="V65" i="37"/>
  <c r="Y64" i="37"/>
  <c r="V64" i="35"/>
  <c r="Y63" i="35"/>
  <c r="V65" i="34"/>
  <c r="Y64" i="34"/>
  <c r="S101" i="31"/>
  <c r="V62" i="33"/>
  <c r="Y61" i="33"/>
  <c r="W65" i="33"/>
  <c r="W66" i="32"/>
  <c r="Y66" i="32"/>
  <c r="Y65" i="32"/>
  <c r="W41" i="31"/>
  <c r="V38" i="31"/>
  <c r="Y37" i="31"/>
  <c r="W40" i="30"/>
  <c r="V36" i="30"/>
  <c r="Y35" i="30"/>
  <c r="W25" i="29"/>
  <c r="V21" i="29"/>
  <c r="W19" i="20"/>
  <c r="D95" i="18"/>
  <c r="D96" i="18"/>
  <c r="D102" i="18"/>
  <c r="I74" i="18"/>
  <c r="D67" i="18"/>
  <c r="Y7" i="18"/>
  <c r="W8" i="18"/>
  <c r="I63" i="18"/>
  <c r="I5" i="18"/>
  <c r="E50" i="18"/>
  <c r="D56" i="18"/>
  <c r="D58" i="18"/>
  <c r="D101" i="17"/>
  <c r="D91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E16" i="17"/>
  <c r="I17" i="17"/>
  <c r="I72" i="17"/>
  <c r="C16" i="17"/>
  <c r="H15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I73" i="17"/>
  <c r="I50" i="17"/>
  <c r="W7" i="17"/>
  <c r="W8" i="17"/>
  <c r="H13" i="17"/>
  <c r="I74" i="17"/>
  <c r="E15" i="17"/>
  <c r="D63" i="17"/>
  <c r="V7" i="17"/>
  <c r="H14" i="17"/>
  <c r="E49" i="17"/>
  <c r="D65" i="17"/>
  <c r="C20" i="17"/>
  <c r="D45" i="17"/>
  <c r="D21" i="17"/>
  <c r="C21" i="17"/>
  <c r="C20" i="15"/>
  <c r="E14" i="15"/>
  <c r="H5" i="15"/>
  <c r="D58" i="15"/>
  <c r="E50" i="15"/>
  <c r="D56" i="15"/>
  <c r="E15" i="15"/>
  <c r="Y7" i="15"/>
  <c r="W8" i="15"/>
  <c r="D45" i="15"/>
  <c r="D66" i="15"/>
  <c r="D21" i="15"/>
  <c r="C21" i="15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I50" i="13"/>
  <c r="W7" i="13"/>
  <c r="D46" i="13"/>
  <c r="D45" i="13"/>
  <c r="D62" i="13"/>
  <c r="I72" i="13"/>
  <c r="I73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E49" i="13"/>
  <c r="D58" i="13"/>
  <c r="E15" i="13"/>
  <c r="W8" i="13"/>
  <c r="I17" i="13"/>
  <c r="C20" i="13"/>
  <c r="C15" i="13"/>
  <c r="H15" i="13"/>
  <c r="D68" i="13"/>
  <c r="D70" i="13"/>
  <c r="D21" i="13"/>
  <c r="C21" i="13"/>
  <c r="D47" i="12"/>
  <c r="I50" i="12"/>
  <c r="V43" i="12"/>
  <c r="V28" i="12"/>
  <c r="V15" i="12"/>
  <c r="V17" i="12"/>
  <c r="V19" i="12"/>
  <c r="V37" i="12"/>
  <c r="V46" i="12"/>
  <c r="V41" i="12"/>
  <c r="V50" i="12"/>
  <c r="V52" i="12"/>
  <c r="D44" i="12"/>
  <c r="I72" i="12"/>
  <c r="V58" i="12"/>
  <c r="V56" i="12"/>
  <c r="V54" i="12"/>
  <c r="V24" i="12"/>
  <c r="V22" i="12"/>
  <c r="V42" i="12"/>
  <c r="V29" i="12"/>
  <c r="V27" i="12"/>
  <c r="V18" i="12"/>
  <c r="V33" i="12"/>
  <c r="V9" i="12"/>
  <c r="V51" i="12"/>
  <c r="V49" i="12"/>
  <c r="V40" i="12"/>
  <c r="V53" i="12"/>
  <c r="V34" i="12"/>
  <c r="V25" i="12"/>
  <c r="V23" i="12"/>
  <c r="V66" i="12"/>
  <c r="V64" i="12"/>
  <c r="V62" i="12"/>
  <c r="V60" i="12"/>
  <c r="V11" i="12"/>
  <c r="V7" i="12"/>
  <c r="V31" i="12"/>
  <c r="V13" i="12"/>
  <c r="V16" i="12"/>
  <c r="V47" i="12"/>
  <c r="V44" i="12"/>
  <c r="V38" i="12"/>
  <c r="V36" i="12"/>
  <c r="V20" i="12"/>
  <c r="V14" i="12"/>
  <c r="V59" i="12"/>
  <c r="V57" i="12"/>
  <c r="V55" i="12"/>
  <c r="V45" i="12"/>
  <c r="V10" i="12"/>
  <c r="V32" i="12"/>
  <c r="V8" i="12"/>
  <c r="V65" i="12"/>
  <c r="V63" i="12"/>
  <c r="V61" i="12"/>
  <c r="V21" i="12"/>
  <c r="V12" i="12"/>
  <c r="V48" i="12"/>
  <c r="U7" i="12"/>
  <c r="E49" i="12"/>
  <c r="V39" i="12"/>
  <c r="I71" i="12"/>
  <c r="I73" i="12"/>
  <c r="D66" i="12"/>
  <c r="V30" i="12"/>
  <c r="D45" i="12"/>
  <c r="D21" i="12"/>
  <c r="V26" i="12"/>
  <c r="V35" i="12"/>
  <c r="D62" i="12"/>
  <c r="D64" i="12"/>
  <c r="E15" i="11"/>
  <c r="I71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H14" i="11"/>
  <c r="H15" i="11"/>
  <c r="I17" i="11"/>
  <c r="E14" i="11"/>
  <c r="H5" i="11"/>
  <c r="E49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D64" i="11"/>
  <c r="I50" i="11"/>
  <c r="D62" i="11"/>
  <c r="I72" i="11"/>
  <c r="I73" i="11"/>
  <c r="D23" i="11"/>
  <c r="C23" i="11"/>
  <c r="D45" i="11"/>
  <c r="D66" i="11"/>
  <c r="I50" i="10"/>
  <c r="D62" i="10"/>
  <c r="I71" i="10"/>
  <c r="I73" i="10"/>
  <c r="E49" i="10"/>
  <c r="I17" i="10"/>
  <c r="D64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D45" i="10"/>
  <c r="D66" i="10"/>
  <c r="D21" i="10"/>
  <c r="I72" i="10"/>
  <c r="V66" i="37"/>
  <c r="Y66" i="37"/>
  <c r="Y65" i="37"/>
  <c r="V65" i="35"/>
  <c r="Y64" i="35"/>
  <c r="V66" i="34"/>
  <c r="Y66" i="34"/>
  <c r="Y65" i="34"/>
  <c r="S102" i="31"/>
  <c r="W66" i="33"/>
  <c r="V63" i="33"/>
  <c r="Y62" i="33"/>
  <c r="V39" i="31"/>
  <c r="Y38" i="31"/>
  <c r="W42" i="31"/>
  <c r="V37" i="30"/>
  <c r="Y36" i="30"/>
  <c r="W41" i="30"/>
  <c r="W26" i="29"/>
  <c r="V22" i="29"/>
  <c r="W20" i="20"/>
  <c r="D59" i="18"/>
  <c r="W9" i="18"/>
  <c r="D67" i="17"/>
  <c r="H91" i="17"/>
  <c r="H93" i="17"/>
  <c r="D69" i="17"/>
  <c r="D71" i="17"/>
  <c r="D58" i="17"/>
  <c r="Y7" i="17"/>
  <c r="E50" i="17"/>
  <c r="D56" i="17"/>
  <c r="D59" i="17"/>
  <c r="W9" i="17"/>
  <c r="E14" i="17"/>
  <c r="H5" i="17"/>
  <c r="I62" i="15"/>
  <c r="I5" i="15"/>
  <c r="L76" i="15"/>
  <c r="L77" i="15"/>
  <c r="L78" i="15"/>
  <c r="L71" i="15"/>
  <c r="L72" i="15"/>
  <c r="L73" i="15"/>
  <c r="L74" i="15"/>
  <c r="W9" i="15"/>
  <c r="E50" i="13"/>
  <c r="D56" i="13"/>
  <c r="Y7" i="13"/>
  <c r="D66" i="13"/>
  <c r="E14" i="13"/>
  <c r="H5" i="13"/>
  <c r="W9" i="13"/>
  <c r="C21" i="12"/>
  <c r="E14" i="12"/>
  <c r="H5" i="12"/>
  <c r="W7" i="12"/>
  <c r="D58" i="12"/>
  <c r="E50" i="12"/>
  <c r="D56" i="12"/>
  <c r="D68" i="12"/>
  <c r="D70" i="12"/>
  <c r="D68" i="11"/>
  <c r="D70" i="11"/>
  <c r="I62" i="11"/>
  <c r="I5" i="11"/>
  <c r="U58" i="11"/>
  <c r="U56" i="11"/>
  <c r="U54" i="11"/>
  <c r="U24" i="11"/>
  <c r="U22" i="11"/>
  <c r="U9" i="11"/>
  <c r="U13" i="11"/>
  <c r="U42" i="11"/>
  <c r="U29" i="11"/>
  <c r="U33" i="11"/>
  <c r="U11" i="11"/>
  <c r="U40" i="11"/>
  <c r="U18" i="11"/>
  <c r="U27" i="11"/>
  <c r="U53" i="11"/>
  <c r="U34" i="11"/>
  <c r="U25" i="11"/>
  <c r="U66" i="11"/>
  <c r="U64" i="11"/>
  <c r="U62" i="11"/>
  <c r="U60" i="11"/>
  <c r="U7" i="11"/>
  <c r="V7" i="11"/>
  <c r="U16" i="11"/>
  <c r="U20" i="11"/>
  <c r="U31" i="11"/>
  <c r="U51" i="11"/>
  <c r="U49" i="11"/>
  <c r="U47" i="11"/>
  <c r="U44" i="11"/>
  <c r="U38" i="11"/>
  <c r="U36" i="11"/>
  <c r="U23" i="11"/>
  <c r="U14" i="11"/>
  <c r="U59" i="11"/>
  <c r="U57" i="11"/>
  <c r="U55" i="11"/>
  <c r="U30" i="11"/>
  <c r="U52" i="11"/>
  <c r="U12" i="11"/>
  <c r="U8" i="11"/>
  <c r="U26" i="11"/>
  <c r="U43" i="11"/>
  <c r="U10" i="11"/>
  <c r="U21" i="11"/>
  <c r="U63" i="11"/>
  <c r="U41" i="11"/>
  <c r="U15" i="11"/>
  <c r="U35" i="11"/>
  <c r="U48" i="11"/>
  <c r="U61" i="11"/>
  <c r="U50" i="11"/>
  <c r="U46" i="11"/>
  <c r="U19" i="11"/>
  <c r="U39" i="11"/>
  <c r="U32" i="11"/>
  <c r="U65" i="11"/>
  <c r="U17" i="11"/>
  <c r="U45" i="11"/>
  <c r="U28" i="11"/>
  <c r="U37" i="11"/>
  <c r="D58" i="11"/>
  <c r="E50" i="11"/>
  <c r="D56" i="11"/>
  <c r="E50" i="10"/>
  <c r="D56" i="10"/>
  <c r="D58" i="10"/>
  <c r="D68" i="10"/>
  <c r="D70" i="10"/>
  <c r="V58" i="10"/>
  <c r="V56" i="10"/>
  <c r="V54" i="10"/>
  <c r="V24" i="10"/>
  <c r="V22" i="10"/>
  <c r="V51" i="10"/>
  <c r="V42" i="10"/>
  <c r="V20" i="10"/>
  <c r="V16" i="10"/>
  <c r="V34" i="10"/>
  <c r="V25" i="10"/>
  <c r="V14" i="10"/>
  <c r="V10" i="10"/>
  <c r="V33" i="10"/>
  <c r="V9" i="10"/>
  <c r="V13" i="10"/>
  <c r="V18" i="10"/>
  <c r="V45" i="10"/>
  <c r="V66" i="10"/>
  <c r="V64" i="10"/>
  <c r="V62" i="10"/>
  <c r="V60" i="10"/>
  <c r="V11" i="10"/>
  <c r="V49" i="10"/>
  <c r="V29" i="10"/>
  <c r="V27" i="10"/>
  <c r="V31" i="10"/>
  <c r="V7" i="10"/>
  <c r="W7" i="10"/>
  <c r="V47" i="10"/>
  <c r="V44" i="10"/>
  <c r="V38" i="10"/>
  <c r="V36" i="10"/>
  <c r="V40" i="10"/>
  <c r="V23" i="10"/>
  <c r="V59" i="10"/>
  <c r="V57" i="10"/>
  <c r="V55" i="10"/>
  <c r="V53" i="10"/>
  <c r="V32" i="10"/>
  <c r="V8" i="10"/>
  <c r="V48" i="10"/>
  <c r="V28" i="10"/>
  <c r="V52" i="10"/>
  <c r="V46" i="10"/>
  <c r="V35" i="10"/>
  <c r="V39" i="10"/>
  <c r="V50" i="10"/>
  <c r="V37" i="10"/>
  <c r="V30" i="10"/>
  <c r="V26" i="10"/>
  <c r="V15" i="10"/>
  <c r="V12" i="10"/>
  <c r="V65" i="10"/>
  <c r="V43" i="10"/>
  <c r="V63" i="10"/>
  <c r="V19" i="10"/>
  <c r="V41" i="10"/>
  <c r="V17" i="10"/>
  <c r="V61" i="10"/>
  <c r="V21" i="10"/>
  <c r="C21" i="10"/>
  <c r="E14" i="10"/>
  <c r="H5" i="10"/>
  <c r="I47" i="9"/>
  <c r="E47" i="9"/>
  <c r="D47" i="9"/>
  <c r="I46" i="9"/>
  <c r="E46" i="9"/>
  <c r="D46" i="9"/>
  <c r="B46" i="9"/>
  <c r="I45" i="9"/>
  <c r="E45" i="9"/>
  <c r="B45" i="9"/>
  <c r="I44" i="9"/>
  <c r="I50" i="9"/>
  <c r="U28" i="9"/>
  <c r="E44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E42" i="9"/>
  <c r="E41" i="9"/>
  <c r="E39" i="9"/>
  <c r="E38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E37" i="9"/>
  <c r="L36" i="9"/>
  <c r="L35" i="9"/>
  <c r="E35" i="9"/>
  <c r="M34" i="9"/>
  <c r="L34" i="9"/>
  <c r="E34" i="9"/>
  <c r="I71" i="9"/>
  <c r="M33" i="9"/>
  <c r="L33" i="9"/>
  <c r="M32" i="9"/>
  <c r="L32" i="9"/>
  <c r="M31" i="9"/>
  <c r="L31" i="9"/>
  <c r="M30" i="9"/>
  <c r="L30" i="9"/>
  <c r="L29" i="9"/>
  <c r="D27" i="9"/>
  <c r="D26" i="9"/>
  <c r="C26" i="9"/>
  <c r="D23" i="9"/>
  <c r="C23" i="9"/>
  <c r="D22" i="9"/>
  <c r="C22" i="9"/>
  <c r="B22" i="9"/>
  <c r="B21" i="9"/>
  <c r="D20" i="9"/>
  <c r="C20" i="9"/>
  <c r="D15" i="9"/>
  <c r="E15" i="9"/>
  <c r="C15" i="9"/>
  <c r="H15" i="9"/>
  <c r="B15" i="9"/>
  <c r="H14" i="9"/>
  <c r="D14" i="9"/>
  <c r="C14" i="9"/>
  <c r="B14" i="9"/>
  <c r="D10" i="9"/>
  <c r="E9" i="9"/>
  <c r="D9" i="9"/>
  <c r="D8" i="9"/>
  <c r="E8" i="9"/>
  <c r="P7" i="9"/>
  <c r="Q7" i="9" s="1"/>
  <c r="D7" i="9"/>
  <c r="C7" i="9"/>
  <c r="D6" i="9"/>
  <c r="I17" i="9"/>
  <c r="C6" i="9"/>
  <c r="Q7" i="1"/>
  <c r="Q8" i="1" s="1"/>
  <c r="B22" i="1"/>
  <c r="B21" i="1"/>
  <c r="B15" i="1"/>
  <c r="B14" i="1"/>
  <c r="B46" i="1"/>
  <c r="B45" i="1"/>
  <c r="V66" i="35"/>
  <c r="Y66" i="35"/>
  <c r="Y65" i="35"/>
  <c r="S103" i="31"/>
  <c r="V64" i="33"/>
  <c r="Y63" i="33"/>
  <c r="W43" i="31"/>
  <c r="V40" i="31"/>
  <c r="Y39" i="31"/>
  <c r="W42" i="30"/>
  <c r="V38" i="30"/>
  <c r="Y37" i="30"/>
  <c r="V23" i="29"/>
  <c r="W27" i="29"/>
  <c r="W21" i="20"/>
  <c r="W10" i="18"/>
  <c r="I5" i="17"/>
  <c r="I63" i="17"/>
  <c r="D94" i="17"/>
  <c r="D102" i="17"/>
  <c r="W10" i="17"/>
  <c r="W10" i="15"/>
  <c r="W10" i="13"/>
  <c r="I5" i="13"/>
  <c r="I62" i="13"/>
  <c r="I62" i="12"/>
  <c r="I5" i="12"/>
  <c r="L76" i="12"/>
  <c r="L77" i="12"/>
  <c r="L78" i="12"/>
  <c r="L71" i="12"/>
  <c r="L72" i="12"/>
  <c r="L73" i="12"/>
  <c r="L74" i="12"/>
  <c r="L76" i="11"/>
  <c r="L77" i="11"/>
  <c r="L78" i="11"/>
  <c r="L71" i="11"/>
  <c r="L72" i="11"/>
  <c r="L73" i="11"/>
  <c r="L74" i="11"/>
  <c r="L76" i="10"/>
  <c r="L77" i="10"/>
  <c r="L78" i="10"/>
  <c r="L71" i="10"/>
  <c r="L72" i="10"/>
  <c r="L73" i="10"/>
  <c r="L74" i="10"/>
  <c r="I62" i="10"/>
  <c r="I5" i="10"/>
  <c r="I72" i="9"/>
  <c r="I73" i="9"/>
  <c r="D44" i="9"/>
  <c r="U46" i="9"/>
  <c r="U30" i="9"/>
  <c r="U52" i="9"/>
  <c r="U37" i="9"/>
  <c r="U43" i="9"/>
  <c r="U12" i="9"/>
  <c r="D21" i="9"/>
  <c r="D45" i="9"/>
  <c r="D66" i="9"/>
  <c r="U48" i="9"/>
  <c r="U17" i="9"/>
  <c r="U58" i="9"/>
  <c r="U56" i="9"/>
  <c r="U54" i="9"/>
  <c r="U24" i="9"/>
  <c r="U22" i="9"/>
  <c r="U32" i="9"/>
  <c r="U63" i="9"/>
  <c r="U33" i="9"/>
  <c r="U9" i="9"/>
  <c r="U11" i="9"/>
  <c r="U13" i="9"/>
  <c r="U53" i="9"/>
  <c r="U59" i="9"/>
  <c r="U45" i="9"/>
  <c r="U8" i="9"/>
  <c r="U66" i="9"/>
  <c r="U64" i="9"/>
  <c r="U62" i="9"/>
  <c r="U60" i="9"/>
  <c r="U7" i="9"/>
  <c r="U31" i="9"/>
  <c r="U20" i="9"/>
  <c r="U25" i="9"/>
  <c r="U10" i="9"/>
  <c r="U47" i="9"/>
  <c r="U44" i="9"/>
  <c r="U38" i="9"/>
  <c r="U36" i="9"/>
  <c r="U51" i="9"/>
  <c r="U49" i="9"/>
  <c r="U42" i="9"/>
  <c r="U40" i="9"/>
  <c r="U29" i="9"/>
  <c r="U16" i="9"/>
  <c r="U27" i="9"/>
  <c r="U18" i="9"/>
  <c r="U34" i="9"/>
  <c r="U23" i="9"/>
  <c r="U55" i="9"/>
  <c r="U65" i="9"/>
  <c r="U57" i="9"/>
  <c r="U14" i="9"/>
  <c r="U61" i="9"/>
  <c r="U39" i="9"/>
  <c r="T7" i="9"/>
  <c r="E49" i="9"/>
  <c r="U15" i="9"/>
  <c r="U21" i="9"/>
  <c r="U35" i="9"/>
  <c r="U19" i="9"/>
  <c r="U26" i="9"/>
  <c r="U41" i="9"/>
  <c r="U50" i="9"/>
  <c r="D62" i="9"/>
  <c r="D64" i="9"/>
  <c r="C58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AB64" i="3"/>
  <c r="AA64" i="3"/>
  <c r="Z64" i="3"/>
  <c r="AB49" i="3"/>
  <c r="AA49" i="3"/>
  <c r="Z49" i="3"/>
  <c r="AB31" i="3"/>
  <c r="AA31" i="3"/>
  <c r="Z31" i="3"/>
  <c r="AB22" i="3"/>
  <c r="AA22" i="3"/>
  <c r="Z22" i="3"/>
  <c r="Y64" i="3"/>
  <c r="X64" i="3"/>
  <c r="W64" i="3"/>
  <c r="V64" i="3"/>
  <c r="U64" i="3"/>
  <c r="T64" i="3"/>
  <c r="S64" i="3"/>
  <c r="R64" i="3"/>
  <c r="Q64" i="3"/>
  <c r="Y49" i="3"/>
  <c r="X49" i="3"/>
  <c r="W49" i="3"/>
  <c r="V49" i="3"/>
  <c r="U49" i="3"/>
  <c r="T49" i="3"/>
  <c r="S49" i="3"/>
  <c r="R49" i="3"/>
  <c r="Q49" i="3"/>
  <c r="Y31" i="3"/>
  <c r="X31" i="3"/>
  <c r="W31" i="3"/>
  <c r="V31" i="3"/>
  <c r="U31" i="3"/>
  <c r="T31" i="3"/>
  <c r="S31" i="3"/>
  <c r="R31" i="3"/>
  <c r="Q31" i="3"/>
  <c r="Y22" i="3"/>
  <c r="X22" i="3"/>
  <c r="W22" i="3"/>
  <c r="V22" i="3"/>
  <c r="U22" i="3"/>
  <c r="T22" i="3"/>
  <c r="S22" i="3"/>
  <c r="R22" i="3"/>
  <c r="Q22" i="3"/>
  <c r="P64" i="3"/>
  <c r="P49" i="3"/>
  <c r="P31" i="3"/>
  <c r="P22" i="3"/>
  <c r="D26" i="1"/>
  <c r="D27" i="1"/>
  <c r="D10" i="1"/>
  <c r="S104" i="31"/>
  <c r="V65" i="33"/>
  <c r="Y64" i="33"/>
  <c r="V41" i="31"/>
  <c r="Y40" i="31"/>
  <c r="W44" i="31"/>
  <c r="W43" i="30"/>
  <c r="V39" i="30"/>
  <c r="Y38" i="30"/>
  <c r="W28" i="29"/>
  <c r="V24" i="29"/>
  <c r="M47" i="20"/>
  <c r="M35" i="19"/>
  <c r="M35" i="18"/>
  <c r="M35" i="17"/>
  <c r="M35" i="13"/>
  <c r="M35" i="10"/>
  <c r="M35" i="12"/>
  <c r="M35" i="15"/>
  <c r="M35" i="11"/>
  <c r="M35" i="9"/>
  <c r="W22" i="20"/>
  <c r="W21" i="19"/>
  <c r="W11" i="18"/>
  <c r="D95" i="17"/>
  <c r="W11" i="17"/>
  <c r="W11" i="15"/>
  <c r="W11" i="13"/>
  <c r="D58" i="9"/>
  <c r="E50" i="9"/>
  <c r="D56" i="9"/>
  <c r="D68" i="9"/>
  <c r="D70" i="9"/>
  <c r="V7" i="9"/>
  <c r="C21" i="9"/>
  <c r="E14" i="9"/>
  <c r="H5" i="9"/>
  <c r="D14" i="1"/>
  <c r="L36" i="1"/>
  <c r="L35" i="1"/>
  <c r="L34" i="1"/>
  <c r="L33" i="1"/>
  <c r="L32" i="1"/>
  <c r="L31" i="1"/>
  <c r="L30" i="1"/>
  <c r="L29" i="1"/>
  <c r="C39" i="3"/>
  <c r="M33" i="1"/>
  <c r="C12" i="3"/>
  <c r="M30" i="1"/>
  <c r="O64" i="3"/>
  <c r="O49" i="3"/>
  <c r="O31" i="3"/>
  <c r="O22" i="3"/>
  <c r="N64" i="3"/>
  <c r="N49" i="3"/>
  <c r="N31" i="3"/>
  <c r="N22" i="3"/>
  <c r="M64" i="3"/>
  <c r="M49" i="3"/>
  <c r="M31" i="3"/>
  <c r="M22" i="3"/>
  <c r="L64" i="3"/>
  <c r="L49" i="3"/>
  <c r="L31" i="3"/>
  <c r="L22" i="3"/>
  <c r="K64" i="3"/>
  <c r="K49" i="3"/>
  <c r="K31" i="3"/>
  <c r="K22" i="3"/>
  <c r="J64" i="3"/>
  <c r="J49" i="3"/>
  <c r="J31" i="3"/>
  <c r="J22" i="3"/>
  <c r="I64" i="3"/>
  <c r="I49" i="3"/>
  <c r="I31" i="3"/>
  <c r="I22" i="3"/>
  <c r="S105" i="31"/>
  <c r="V66" i="33"/>
  <c r="Y66" i="33"/>
  <c r="Y65" i="33"/>
  <c r="W45" i="31"/>
  <c r="V42" i="31"/>
  <c r="Y41" i="31"/>
  <c r="V40" i="30"/>
  <c r="Y39" i="30"/>
  <c r="W44" i="30"/>
  <c r="V25" i="29"/>
  <c r="W29" i="29"/>
  <c r="W23" i="20"/>
  <c r="W22" i="19"/>
  <c r="W12" i="18"/>
  <c r="D96" i="17"/>
  <c r="W12" i="17"/>
  <c r="W12" i="15"/>
  <c r="W12" i="13"/>
  <c r="I62" i="9"/>
  <c r="I5" i="9"/>
  <c r="L76" i="9"/>
  <c r="L77" i="9"/>
  <c r="L78" i="9"/>
  <c r="L71" i="9"/>
  <c r="L72" i="9"/>
  <c r="L73" i="9"/>
  <c r="L74" i="9"/>
  <c r="I47" i="1"/>
  <c r="D23" i="1"/>
  <c r="C23" i="1"/>
  <c r="I46" i="1"/>
  <c r="D22" i="1"/>
  <c r="I45" i="1"/>
  <c r="D21" i="1"/>
  <c r="I44" i="1"/>
  <c r="E47" i="1"/>
  <c r="E46" i="1"/>
  <c r="E45" i="1"/>
  <c r="E44" i="1"/>
  <c r="E42" i="1"/>
  <c r="E41" i="1"/>
  <c r="E39" i="1"/>
  <c r="E38" i="1"/>
  <c r="E37" i="1"/>
  <c r="E35" i="1"/>
  <c r="E34" i="1"/>
  <c r="V7" i="1"/>
  <c r="D15" i="1"/>
  <c r="D9" i="1"/>
  <c r="D8" i="1"/>
  <c r="D7" i="1"/>
  <c r="D6" i="1"/>
  <c r="S106" i="31"/>
  <c r="S107" i="31"/>
  <c r="V43" i="31"/>
  <c r="Y42" i="31"/>
  <c r="W46" i="31"/>
  <c r="W45" i="30"/>
  <c r="V41" i="30"/>
  <c r="Y40" i="30"/>
  <c r="W30" i="29"/>
  <c r="V26" i="29"/>
  <c r="W24" i="20"/>
  <c r="W23" i="19"/>
  <c r="W13" i="18"/>
  <c r="W13" i="17"/>
  <c r="W13" i="15"/>
  <c r="W13" i="13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I71" i="1"/>
  <c r="I72" i="1"/>
  <c r="E49" i="1"/>
  <c r="S108" i="31"/>
  <c r="W47" i="31"/>
  <c r="V44" i="31"/>
  <c r="Y43" i="31"/>
  <c r="V42" i="30"/>
  <c r="Y41" i="30"/>
  <c r="W46" i="30"/>
  <c r="V27" i="29"/>
  <c r="W31" i="29"/>
  <c r="W25" i="20"/>
  <c r="W24" i="19"/>
  <c r="W14" i="18"/>
  <c r="W14" i="17"/>
  <c r="W14" i="15"/>
  <c r="W14" i="13"/>
  <c r="I73" i="1"/>
  <c r="E50" i="1"/>
  <c r="S109" i="31"/>
  <c r="V45" i="31"/>
  <c r="Y44" i="31"/>
  <c r="W48" i="31"/>
  <c r="W47" i="30"/>
  <c r="V43" i="30"/>
  <c r="Y42" i="30"/>
  <c r="W32" i="29"/>
  <c r="V28" i="29"/>
  <c r="W26" i="20"/>
  <c r="W25" i="19"/>
  <c r="W15" i="18"/>
  <c r="W15" i="17"/>
  <c r="W15" i="15"/>
  <c r="W15" i="13"/>
  <c r="C26" i="1"/>
  <c r="I50" i="1"/>
  <c r="E9" i="1"/>
  <c r="E8" i="1"/>
  <c r="S110" i="31"/>
  <c r="W49" i="31"/>
  <c r="V46" i="31"/>
  <c r="Y45" i="31"/>
  <c r="V44" i="30"/>
  <c r="Y43" i="30"/>
  <c r="W48" i="30"/>
  <c r="V29" i="29"/>
  <c r="W33" i="29"/>
  <c r="W27" i="20"/>
  <c r="W26" i="19"/>
  <c r="W16" i="18"/>
  <c r="W16" i="17"/>
  <c r="W16" i="15"/>
  <c r="W16" i="13"/>
  <c r="W7" i="1"/>
  <c r="Y7" i="1"/>
  <c r="D58" i="1"/>
  <c r="D56" i="1"/>
  <c r="C5" i="3"/>
  <c r="H64" i="3"/>
  <c r="H49" i="3"/>
  <c r="H31" i="3"/>
  <c r="H22" i="3"/>
  <c r="G64" i="3"/>
  <c r="G49" i="3"/>
  <c r="G31" i="3"/>
  <c r="G22" i="3"/>
  <c r="F64" i="3"/>
  <c r="F49" i="3"/>
  <c r="F31" i="3"/>
  <c r="F22" i="3"/>
  <c r="E64" i="3"/>
  <c r="E49" i="3"/>
  <c r="E31" i="3"/>
  <c r="E22" i="3"/>
  <c r="C64" i="3"/>
  <c r="C49" i="3"/>
  <c r="M34" i="1"/>
  <c r="C31" i="3"/>
  <c r="M32" i="1"/>
  <c r="C22" i="3"/>
  <c r="M31" i="1"/>
  <c r="D64" i="1"/>
  <c r="D62" i="1"/>
  <c r="D47" i="1"/>
  <c r="D46" i="1"/>
  <c r="D45" i="1"/>
  <c r="D44" i="1"/>
  <c r="C22" i="1"/>
  <c r="C21" i="1"/>
  <c r="C15" i="1"/>
  <c r="H15" i="1"/>
  <c r="C7" i="1"/>
  <c r="C6" i="1"/>
  <c r="S111" i="31"/>
  <c r="V47" i="31"/>
  <c r="Y46" i="31"/>
  <c r="W50" i="31"/>
  <c r="W49" i="30"/>
  <c r="V45" i="30"/>
  <c r="Y44" i="30"/>
  <c r="W34" i="29"/>
  <c r="V30" i="29"/>
  <c r="M48" i="20"/>
  <c r="M36" i="19"/>
  <c r="M36" i="18"/>
  <c r="M36" i="17"/>
  <c r="M29" i="1"/>
  <c r="M41" i="20"/>
  <c r="M40" i="20"/>
  <c r="D121" i="20"/>
  <c r="D123" i="20"/>
  <c r="M29" i="19"/>
  <c r="M28" i="19"/>
  <c r="D110" i="19"/>
  <c r="D112" i="19"/>
  <c r="M29" i="18"/>
  <c r="M28" i="18"/>
  <c r="D110" i="18"/>
  <c r="D112" i="18"/>
  <c r="M29" i="13"/>
  <c r="M29" i="10"/>
  <c r="M29" i="17"/>
  <c r="M28" i="17"/>
  <c r="D110" i="17"/>
  <c r="D112" i="17"/>
  <c r="M29" i="15"/>
  <c r="M29" i="11"/>
  <c r="M29" i="12"/>
  <c r="M29" i="9"/>
  <c r="AA6" i="3"/>
  <c r="AA5" i="3"/>
  <c r="AA74" i="3"/>
  <c r="Q6" i="3"/>
  <c r="Q5" i="3"/>
  <c r="Q74" i="3"/>
  <c r="Z6" i="3"/>
  <c r="Z5" i="3"/>
  <c r="Z74" i="3"/>
  <c r="U6" i="3"/>
  <c r="U5" i="3"/>
  <c r="U74" i="3"/>
  <c r="T6" i="3"/>
  <c r="T5" i="3"/>
  <c r="T74" i="3"/>
  <c r="AB6" i="3"/>
  <c r="AB5" i="3"/>
  <c r="AB74" i="3"/>
  <c r="V6" i="3"/>
  <c r="V5" i="3"/>
  <c r="V74" i="3"/>
  <c r="Y6" i="3"/>
  <c r="Y5" i="3"/>
  <c r="Y74" i="3"/>
  <c r="X6" i="3"/>
  <c r="X5" i="3"/>
  <c r="X74" i="3"/>
  <c r="P6" i="3"/>
  <c r="P5" i="3"/>
  <c r="P74" i="3"/>
  <c r="W6" i="3"/>
  <c r="W5" i="3"/>
  <c r="W74" i="3"/>
  <c r="S6" i="3"/>
  <c r="S5" i="3"/>
  <c r="S74" i="3"/>
  <c r="R6" i="3"/>
  <c r="R5" i="3"/>
  <c r="R74" i="3"/>
  <c r="W28" i="20"/>
  <c r="W27" i="19"/>
  <c r="W17" i="18"/>
  <c r="W17" i="17"/>
  <c r="M36" i="12"/>
  <c r="D25" i="12"/>
  <c r="M36" i="10"/>
  <c r="D25" i="10"/>
  <c r="M36" i="13"/>
  <c r="M36" i="11"/>
  <c r="D25" i="11"/>
  <c r="M36" i="15"/>
  <c r="M36" i="9"/>
  <c r="D25" i="9"/>
  <c r="W17" i="15"/>
  <c r="W17" i="13"/>
  <c r="D20" i="1"/>
  <c r="O6" i="3"/>
  <c r="O5" i="3"/>
  <c r="O74" i="3"/>
  <c r="J6" i="3"/>
  <c r="J5" i="3"/>
  <c r="J74" i="3"/>
  <c r="I6" i="3"/>
  <c r="I5" i="3"/>
  <c r="I74" i="3"/>
  <c r="G6" i="3"/>
  <c r="G5" i="3"/>
  <c r="G74" i="3"/>
  <c r="N6" i="3"/>
  <c r="N5" i="3"/>
  <c r="N74" i="3"/>
  <c r="K6" i="3"/>
  <c r="K5" i="3"/>
  <c r="K74" i="3"/>
  <c r="H6" i="3"/>
  <c r="H5" i="3"/>
  <c r="H74" i="3"/>
  <c r="F6" i="3"/>
  <c r="F5" i="3"/>
  <c r="F74" i="3"/>
  <c r="M6" i="3"/>
  <c r="M5" i="3"/>
  <c r="M74" i="3"/>
  <c r="L6" i="3"/>
  <c r="L5" i="3"/>
  <c r="L74" i="3"/>
  <c r="E6" i="3"/>
  <c r="E5" i="3"/>
  <c r="E74" i="3"/>
  <c r="D66" i="1"/>
  <c r="M36" i="1"/>
  <c r="C20" i="1"/>
  <c r="C14" i="1"/>
  <c r="H14" i="1"/>
  <c r="I17" i="1"/>
  <c r="D68" i="1"/>
  <c r="D70" i="1"/>
  <c r="C74" i="3"/>
  <c r="E14" i="1"/>
  <c r="E15" i="1"/>
  <c r="S112" i="31"/>
  <c r="W51" i="31"/>
  <c r="V48" i="31"/>
  <c r="Y47" i="31"/>
  <c r="V46" i="30"/>
  <c r="Y45" i="30"/>
  <c r="W50" i="30"/>
  <c r="V31" i="29"/>
  <c r="W35" i="29"/>
  <c r="D99" i="17"/>
  <c r="D105" i="17"/>
  <c r="D106" i="17"/>
  <c r="D107" i="17"/>
  <c r="D25" i="17"/>
  <c r="D99" i="18"/>
  <c r="D105" i="18"/>
  <c r="D106" i="18"/>
  <c r="D107" i="18"/>
  <c r="D25" i="18"/>
  <c r="D99" i="19"/>
  <c r="D105" i="19"/>
  <c r="D106" i="19"/>
  <c r="D107" i="19"/>
  <c r="D25" i="19"/>
  <c r="D110" i="20"/>
  <c r="D116" i="20"/>
  <c r="D117" i="20"/>
  <c r="D118" i="20"/>
  <c r="D29" i="20"/>
  <c r="D117" i="17"/>
  <c r="D124" i="17"/>
  <c r="D125" i="17"/>
  <c r="D126" i="17"/>
  <c r="D113" i="17"/>
  <c r="D117" i="18"/>
  <c r="D124" i="18"/>
  <c r="D125" i="18"/>
  <c r="D126" i="18"/>
  <c r="D113" i="18"/>
  <c r="D113" i="19"/>
  <c r="D117" i="19"/>
  <c r="D124" i="19"/>
  <c r="D125" i="19"/>
  <c r="D126" i="19"/>
  <c r="D128" i="20"/>
  <c r="D135" i="20"/>
  <c r="D136" i="20"/>
  <c r="D137" i="20"/>
  <c r="D124" i="20"/>
  <c r="W29" i="20"/>
  <c r="W28" i="19"/>
  <c r="W18" i="18"/>
  <c r="W18" i="17"/>
  <c r="D25" i="15"/>
  <c r="M28" i="15"/>
  <c r="C25" i="11"/>
  <c r="I28" i="11"/>
  <c r="C25" i="9"/>
  <c r="I28" i="9"/>
  <c r="M28" i="13"/>
  <c r="D25" i="13"/>
  <c r="C25" i="10"/>
  <c r="I28" i="10"/>
  <c r="C25" i="12"/>
  <c r="I28" i="12"/>
  <c r="W18" i="15"/>
  <c r="W18" i="13"/>
  <c r="H5" i="1"/>
  <c r="X77" i="3"/>
  <c r="W77" i="3"/>
  <c r="T77" i="3"/>
  <c r="V77" i="3"/>
  <c r="R77" i="3"/>
  <c r="U77" i="3"/>
  <c r="Y77" i="3"/>
  <c r="S77" i="3"/>
  <c r="AA77" i="3"/>
  <c r="AB77" i="3"/>
  <c r="Q77" i="3"/>
  <c r="P77" i="3"/>
  <c r="Z77" i="3"/>
  <c r="M35" i="1"/>
  <c r="I77" i="3"/>
  <c r="J77" i="3"/>
  <c r="H77" i="3"/>
  <c r="E77" i="3"/>
  <c r="M77" i="3"/>
  <c r="G77" i="3"/>
  <c r="L77" i="3"/>
  <c r="K77" i="3"/>
  <c r="S113" i="31"/>
  <c r="V49" i="31"/>
  <c r="Y48" i="31"/>
  <c r="W52" i="31"/>
  <c r="W51" i="30"/>
  <c r="V47" i="30"/>
  <c r="Y46" i="30"/>
  <c r="W36" i="29"/>
  <c r="V32" i="29"/>
  <c r="C29" i="20"/>
  <c r="I32" i="20"/>
  <c r="I28" i="19"/>
  <c r="C25" i="19"/>
  <c r="C25" i="18"/>
  <c r="I28" i="18"/>
  <c r="C25" i="17"/>
  <c r="I28" i="17"/>
  <c r="G97" i="20"/>
  <c r="D125" i="20"/>
  <c r="D114" i="18"/>
  <c r="G86" i="18"/>
  <c r="D114" i="19"/>
  <c r="G86" i="19"/>
  <c r="D114" i="17"/>
  <c r="G86" i="17"/>
  <c r="W30" i="20"/>
  <c r="W29" i="19"/>
  <c r="W19" i="18"/>
  <c r="W19" i="17"/>
  <c r="H22" i="10"/>
  <c r="I56" i="10"/>
  <c r="I78" i="10"/>
  <c r="I64" i="10"/>
  <c r="I66" i="10"/>
  <c r="I77" i="10"/>
  <c r="I78" i="11"/>
  <c r="I77" i="11"/>
  <c r="H22" i="11"/>
  <c r="I56" i="11"/>
  <c r="I64" i="11"/>
  <c r="I66" i="11"/>
  <c r="H22" i="12"/>
  <c r="I56" i="12"/>
  <c r="I78" i="12"/>
  <c r="I64" i="12"/>
  <c r="I66" i="12"/>
  <c r="I77" i="12"/>
  <c r="C25" i="13"/>
  <c r="I28" i="13"/>
  <c r="H22" i="9"/>
  <c r="I56" i="9"/>
  <c r="I77" i="9"/>
  <c r="I64" i="9"/>
  <c r="I66" i="9"/>
  <c r="I78" i="9"/>
  <c r="C25" i="15"/>
  <c r="I28" i="15"/>
  <c r="W19" i="15"/>
  <c r="W19" i="13"/>
  <c r="D25" i="1"/>
  <c r="I28" i="1"/>
  <c r="M28" i="1"/>
  <c r="I62" i="1"/>
  <c r="F77" i="3"/>
  <c r="O77" i="3"/>
  <c r="N77" i="3"/>
  <c r="G80" i="3"/>
  <c r="I5" i="1"/>
  <c r="S114" i="31"/>
  <c r="W53" i="31"/>
  <c r="V50" i="31"/>
  <c r="Y49" i="31"/>
  <c r="V48" i="30"/>
  <c r="Y47" i="30"/>
  <c r="W52" i="30"/>
  <c r="V33" i="29"/>
  <c r="W37" i="29"/>
  <c r="H22" i="17"/>
  <c r="I65" i="17"/>
  <c r="I67" i="17"/>
  <c r="I79" i="17"/>
  <c r="I56" i="17"/>
  <c r="I78" i="17"/>
  <c r="I56" i="18"/>
  <c r="I78" i="18"/>
  <c r="I65" i="18"/>
  <c r="I67" i="18"/>
  <c r="I79" i="18"/>
  <c r="H22" i="18"/>
  <c r="H22" i="19"/>
  <c r="I56" i="19"/>
  <c r="I78" i="19"/>
  <c r="I65" i="19"/>
  <c r="I67" i="19"/>
  <c r="I79" i="19"/>
  <c r="I74" i="20"/>
  <c r="I88" i="20"/>
  <c r="H24" i="20"/>
  <c r="I65" i="20"/>
  <c r="I89" i="20"/>
  <c r="W31" i="20"/>
  <c r="W30" i="19"/>
  <c r="W20" i="18"/>
  <c r="W20" i="17"/>
  <c r="I58" i="12"/>
  <c r="U8" i="12"/>
  <c r="I79" i="12"/>
  <c r="D78" i="12"/>
  <c r="D75" i="12"/>
  <c r="D78" i="11"/>
  <c r="D75" i="11"/>
  <c r="I79" i="11"/>
  <c r="T8" i="11"/>
  <c r="I58" i="11"/>
  <c r="I56" i="15"/>
  <c r="H22" i="15"/>
  <c r="I78" i="15"/>
  <c r="I77" i="15"/>
  <c r="I64" i="15"/>
  <c r="I66" i="15"/>
  <c r="I58" i="9"/>
  <c r="T8" i="9"/>
  <c r="I79" i="9"/>
  <c r="D78" i="9"/>
  <c r="D75" i="9"/>
  <c r="I58" i="10"/>
  <c r="U8" i="10"/>
  <c r="H22" i="13"/>
  <c r="I56" i="13"/>
  <c r="I77" i="13"/>
  <c r="I64" i="13"/>
  <c r="I66" i="13"/>
  <c r="I78" i="13"/>
  <c r="D78" i="10"/>
  <c r="D75" i="10"/>
  <c r="I79" i="10"/>
  <c r="W20" i="15"/>
  <c r="W20" i="13"/>
  <c r="H22" i="1"/>
  <c r="I79" i="1"/>
  <c r="I77" i="1"/>
  <c r="I78" i="1"/>
  <c r="I56" i="1"/>
  <c r="I64" i="1"/>
  <c r="I66" i="1"/>
  <c r="C25" i="1"/>
  <c r="S115" i="31"/>
  <c r="V51" i="31"/>
  <c r="Y50" i="31"/>
  <c r="W54" i="31"/>
  <c r="W53" i="30"/>
  <c r="V49" i="30"/>
  <c r="Y48" i="30"/>
  <c r="W38" i="29"/>
  <c r="V34" i="29"/>
  <c r="I75" i="20"/>
  <c r="I76" i="20"/>
  <c r="V8" i="19"/>
  <c r="I58" i="19"/>
  <c r="D79" i="19"/>
  <c r="D76" i="19"/>
  <c r="I80" i="19"/>
  <c r="D79" i="18"/>
  <c r="D76" i="18"/>
  <c r="I80" i="18"/>
  <c r="I58" i="18"/>
  <c r="V8" i="18"/>
  <c r="V8" i="17"/>
  <c r="I58" i="17"/>
  <c r="V8" i="20"/>
  <c r="I67" i="20"/>
  <c r="I69" i="20"/>
  <c r="D89" i="20"/>
  <c r="D86" i="20"/>
  <c r="I90" i="20"/>
  <c r="I80" i="17"/>
  <c r="D79" i="17"/>
  <c r="D76" i="17"/>
  <c r="W32" i="20"/>
  <c r="W31" i="19"/>
  <c r="W21" i="18"/>
  <c r="W21" i="17"/>
  <c r="I79" i="15"/>
  <c r="D78" i="15"/>
  <c r="D75" i="15"/>
  <c r="I58" i="15"/>
  <c r="V8" i="15"/>
  <c r="T9" i="11"/>
  <c r="V8" i="11"/>
  <c r="I58" i="13"/>
  <c r="V8" i="13"/>
  <c r="T9" i="9"/>
  <c r="V8" i="9"/>
  <c r="I79" i="13"/>
  <c r="D78" i="13"/>
  <c r="D75" i="13"/>
  <c r="U9" i="10"/>
  <c r="W8" i="10"/>
  <c r="W8" i="12"/>
  <c r="U9" i="12"/>
  <c r="W21" i="15"/>
  <c r="W21" i="13"/>
  <c r="I58" i="1"/>
  <c r="V8" i="1"/>
  <c r="D78" i="1"/>
  <c r="D75" i="1"/>
  <c r="S116" i="31"/>
  <c r="S117" i="31"/>
  <c r="W55" i="31"/>
  <c r="V52" i="31"/>
  <c r="Y51" i="31"/>
  <c r="V50" i="30"/>
  <c r="Y49" i="30"/>
  <c r="W54" i="30"/>
  <c r="V35" i="29"/>
  <c r="W39" i="29"/>
  <c r="Y8" i="18"/>
  <c r="V9" i="18"/>
  <c r="V9" i="20"/>
  <c r="Y8" i="20"/>
  <c r="V9" i="19"/>
  <c r="Y8" i="19"/>
  <c r="V9" i="17"/>
  <c r="Y8" i="17"/>
  <c r="W33" i="20"/>
  <c r="W32" i="19"/>
  <c r="W22" i="18"/>
  <c r="W22" i="17"/>
  <c r="T10" i="9"/>
  <c r="V9" i="9"/>
  <c r="Y8" i="13"/>
  <c r="V9" i="13"/>
  <c r="T10" i="11"/>
  <c r="V9" i="11"/>
  <c r="U10" i="12"/>
  <c r="W9" i="12"/>
  <c r="V9" i="15"/>
  <c r="Y8" i="15"/>
  <c r="U10" i="10"/>
  <c r="W9" i="10"/>
  <c r="W22" i="15"/>
  <c r="W22" i="13"/>
  <c r="V9" i="1"/>
  <c r="Y8" i="1"/>
  <c r="S118" i="31"/>
  <c r="V53" i="31"/>
  <c r="Y52" i="31"/>
  <c r="W56" i="31"/>
  <c r="W55" i="30"/>
  <c r="V51" i="30"/>
  <c r="Y50" i="30"/>
  <c r="W40" i="29"/>
  <c r="V36" i="29"/>
  <c r="V10" i="17"/>
  <c r="Y9" i="17"/>
  <c r="Y9" i="19"/>
  <c r="V10" i="19"/>
  <c r="Y9" i="20"/>
  <c r="V10" i="20"/>
  <c r="Y9" i="18"/>
  <c r="V10" i="18"/>
  <c r="W34" i="20"/>
  <c r="W33" i="19"/>
  <c r="W23" i="18"/>
  <c r="W23" i="17"/>
  <c r="U11" i="10"/>
  <c r="W10" i="10"/>
  <c r="U11" i="12"/>
  <c r="W10" i="12"/>
  <c r="T11" i="11"/>
  <c r="V10" i="11"/>
  <c r="V10" i="13"/>
  <c r="Y9" i="13"/>
  <c r="V10" i="15"/>
  <c r="Y9" i="15"/>
  <c r="T11" i="9"/>
  <c r="V10" i="9"/>
  <c r="W23" i="15"/>
  <c r="W23" i="13"/>
  <c r="V10" i="1"/>
  <c r="Y9" i="1"/>
  <c r="S119" i="31"/>
  <c r="W57" i="31"/>
  <c r="V54" i="31"/>
  <c r="Y53" i="31"/>
  <c r="V52" i="30"/>
  <c r="Y51" i="30"/>
  <c r="W56" i="30"/>
  <c r="V37" i="29"/>
  <c r="W41" i="29"/>
  <c r="V11" i="18"/>
  <c r="Y10" i="18"/>
  <c r="Y10" i="20"/>
  <c r="V11" i="20"/>
  <c r="V11" i="19"/>
  <c r="Y10" i="19"/>
  <c r="V11" i="17"/>
  <c r="Y10" i="17"/>
  <c r="W35" i="20"/>
  <c r="W34" i="19"/>
  <c r="W24" i="18"/>
  <c r="W24" i="17"/>
  <c r="T12" i="9"/>
  <c r="V11" i="9"/>
  <c r="U12" i="12"/>
  <c r="W11" i="12"/>
  <c r="T12" i="11"/>
  <c r="V11" i="11"/>
  <c r="U12" i="10"/>
  <c r="W11" i="10"/>
  <c r="V11" i="15"/>
  <c r="Y10" i="15"/>
  <c r="V11" i="13"/>
  <c r="Y10" i="13"/>
  <c r="W24" i="15"/>
  <c r="W24" i="13"/>
  <c r="V11" i="1"/>
  <c r="Y10" i="1"/>
  <c r="S120" i="31"/>
  <c r="V55" i="31"/>
  <c r="Y54" i="31"/>
  <c r="W58" i="31"/>
  <c r="W57" i="30"/>
  <c r="V53" i="30"/>
  <c r="Y52" i="30"/>
  <c r="W42" i="29"/>
  <c r="V38" i="29"/>
  <c r="Y11" i="17"/>
  <c r="V12" i="17"/>
  <c r="Y11" i="19"/>
  <c r="V12" i="19"/>
  <c r="V12" i="20"/>
  <c r="Y11" i="20"/>
  <c r="V12" i="18"/>
  <c r="Y11" i="18"/>
  <c r="W36" i="20"/>
  <c r="W35" i="19"/>
  <c r="W25" i="18"/>
  <c r="W25" i="17"/>
  <c r="V12" i="13"/>
  <c r="Y11" i="13"/>
  <c r="V12" i="15"/>
  <c r="Y11" i="15"/>
  <c r="U13" i="10"/>
  <c r="W12" i="10"/>
  <c r="T13" i="11"/>
  <c r="V12" i="11"/>
  <c r="W12" i="12"/>
  <c r="U13" i="12"/>
  <c r="T13" i="9"/>
  <c r="V12" i="9"/>
  <c r="W25" i="15"/>
  <c r="W25" i="13"/>
  <c r="V12" i="1"/>
  <c r="Y11" i="1"/>
  <c r="S121" i="31"/>
  <c r="W59" i="31"/>
  <c r="V56" i="31"/>
  <c r="Y55" i="31"/>
  <c r="V54" i="30"/>
  <c r="Y53" i="30"/>
  <c r="W58" i="30"/>
  <c r="V39" i="29"/>
  <c r="W43" i="29"/>
  <c r="V13" i="18"/>
  <c r="Y12" i="18"/>
  <c r="Y12" i="20"/>
  <c r="V13" i="20"/>
  <c r="Y12" i="19"/>
  <c r="V13" i="19"/>
  <c r="V13" i="17"/>
  <c r="Y12" i="17"/>
  <c r="W37" i="20"/>
  <c r="W36" i="19"/>
  <c r="W26" i="18"/>
  <c r="W26" i="17"/>
  <c r="W13" i="12"/>
  <c r="U14" i="12"/>
  <c r="T14" i="11"/>
  <c r="V13" i="11"/>
  <c r="U14" i="10"/>
  <c r="W13" i="10"/>
  <c r="V13" i="15"/>
  <c r="Y12" i="15"/>
  <c r="T14" i="9"/>
  <c r="V13" i="9"/>
  <c r="V13" i="13"/>
  <c r="Y12" i="13"/>
  <c r="W26" i="15"/>
  <c r="W26" i="13"/>
  <c r="V13" i="1"/>
  <c r="Y12" i="1"/>
  <c r="S122" i="31"/>
  <c r="V57" i="31"/>
  <c r="Y56" i="31"/>
  <c r="W60" i="31"/>
  <c r="W59" i="30"/>
  <c r="V55" i="30"/>
  <c r="Y54" i="30"/>
  <c r="W44" i="29"/>
  <c r="V40" i="29"/>
  <c r="V14" i="17"/>
  <c r="Y13" i="17"/>
  <c r="Y13" i="19"/>
  <c r="V14" i="19"/>
  <c r="Y13" i="20"/>
  <c r="V14" i="20"/>
  <c r="Y13" i="18"/>
  <c r="V14" i="18"/>
  <c r="W38" i="20"/>
  <c r="W37" i="19"/>
  <c r="W27" i="18"/>
  <c r="W27" i="17"/>
  <c r="Y13" i="13"/>
  <c r="V14" i="13"/>
  <c r="T15" i="9"/>
  <c r="V14" i="9"/>
  <c r="V14" i="15"/>
  <c r="Y13" i="15"/>
  <c r="U15" i="10"/>
  <c r="W14" i="10"/>
  <c r="T15" i="11"/>
  <c r="V14" i="11"/>
  <c r="U15" i="12"/>
  <c r="W14" i="12"/>
  <c r="W27" i="15"/>
  <c r="W27" i="13"/>
  <c r="V14" i="1"/>
  <c r="Y13" i="1"/>
  <c r="S123" i="31"/>
  <c r="W61" i="31"/>
  <c r="V58" i="31"/>
  <c r="Y57" i="31"/>
  <c r="V56" i="30"/>
  <c r="Y55" i="30"/>
  <c r="W60" i="30"/>
  <c r="V41" i="29"/>
  <c r="W45" i="29"/>
  <c r="V15" i="18"/>
  <c r="Y14" i="18"/>
  <c r="V15" i="20"/>
  <c r="Y14" i="20"/>
  <c r="V15" i="19"/>
  <c r="Y14" i="19"/>
  <c r="Y14" i="17"/>
  <c r="V15" i="17"/>
  <c r="W39" i="20"/>
  <c r="W38" i="19"/>
  <c r="W28" i="18"/>
  <c r="W28" i="17"/>
  <c r="T16" i="11"/>
  <c r="V15" i="11"/>
  <c r="U16" i="10"/>
  <c r="W15" i="10"/>
  <c r="V15" i="15"/>
  <c r="Y14" i="15"/>
  <c r="W15" i="12"/>
  <c r="U16" i="12"/>
  <c r="T16" i="9"/>
  <c r="V15" i="9"/>
  <c r="Y14" i="13"/>
  <c r="V15" i="13"/>
  <c r="W28" i="15"/>
  <c r="W28" i="13"/>
  <c r="V15" i="1"/>
  <c r="Y14" i="1"/>
  <c r="S124" i="31"/>
  <c r="V59" i="31"/>
  <c r="Y58" i="31"/>
  <c r="W62" i="31"/>
  <c r="W61" i="30"/>
  <c r="V57" i="30"/>
  <c r="Y56" i="30"/>
  <c r="W46" i="29"/>
  <c r="V42" i="29"/>
  <c r="V16" i="17"/>
  <c r="Y15" i="17"/>
  <c r="V16" i="19"/>
  <c r="Y15" i="19"/>
  <c r="Y15" i="20"/>
  <c r="V16" i="20"/>
  <c r="V16" i="18"/>
  <c r="Y15" i="18"/>
  <c r="W40" i="20"/>
  <c r="W39" i="19"/>
  <c r="W29" i="18"/>
  <c r="W29" i="17"/>
  <c r="V16" i="13"/>
  <c r="Y15" i="13"/>
  <c r="U17" i="12"/>
  <c r="W16" i="12"/>
  <c r="V16" i="15"/>
  <c r="Y15" i="15"/>
  <c r="U17" i="10"/>
  <c r="W16" i="10"/>
  <c r="T17" i="9"/>
  <c r="V16" i="9"/>
  <c r="T17" i="11"/>
  <c r="V16" i="11"/>
  <c r="W29" i="15"/>
  <c r="W29" i="13"/>
  <c r="V16" i="1"/>
  <c r="Y15" i="1"/>
  <c r="S125" i="31"/>
  <c r="W63" i="31"/>
  <c r="V60" i="31"/>
  <c r="Y59" i="31"/>
  <c r="V58" i="30"/>
  <c r="Y57" i="30"/>
  <c r="W62" i="30"/>
  <c r="V43" i="29"/>
  <c r="W47" i="29"/>
  <c r="V17" i="18"/>
  <c r="Y16" i="18"/>
  <c r="V17" i="20"/>
  <c r="Y16" i="20"/>
  <c r="Y16" i="19"/>
  <c r="V17" i="19"/>
  <c r="V17" i="17"/>
  <c r="Y16" i="17"/>
  <c r="W41" i="20"/>
  <c r="W40" i="19"/>
  <c r="W30" i="18"/>
  <c r="W30" i="17"/>
  <c r="T18" i="9"/>
  <c r="V17" i="9"/>
  <c r="T18" i="11"/>
  <c r="V17" i="11"/>
  <c r="V17" i="15"/>
  <c r="Y16" i="15"/>
  <c r="U18" i="10"/>
  <c r="W17" i="10"/>
  <c r="W17" i="12"/>
  <c r="U18" i="12"/>
  <c r="Y16" i="13"/>
  <c r="V17" i="13"/>
  <c r="W30" i="15"/>
  <c r="W30" i="13"/>
  <c r="V17" i="1"/>
  <c r="Y16" i="1"/>
  <c r="S126" i="31"/>
  <c r="V61" i="31"/>
  <c r="Y60" i="31"/>
  <c r="W64" i="31"/>
  <c r="W63" i="30"/>
  <c r="V59" i="30"/>
  <c r="Y58" i="30"/>
  <c r="W48" i="29"/>
  <c r="V44" i="29"/>
  <c r="Y17" i="17"/>
  <c r="V18" i="17"/>
  <c r="Y17" i="19"/>
  <c r="V18" i="19"/>
  <c r="Y17" i="20"/>
  <c r="V18" i="20"/>
  <c r="V18" i="18"/>
  <c r="Y17" i="18"/>
  <c r="W42" i="20"/>
  <c r="W41" i="19"/>
  <c r="W31" i="18"/>
  <c r="W31" i="17"/>
  <c r="U19" i="10"/>
  <c r="W18" i="10"/>
  <c r="U19" i="12"/>
  <c r="W18" i="12"/>
  <c r="V18" i="13"/>
  <c r="Y17" i="13"/>
  <c r="V18" i="15"/>
  <c r="Y17" i="15"/>
  <c r="T19" i="11"/>
  <c r="V18" i="11"/>
  <c r="T19" i="9"/>
  <c r="V18" i="9"/>
  <c r="W31" i="15"/>
  <c r="W31" i="13"/>
  <c r="V18" i="1"/>
  <c r="Y17" i="1"/>
  <c r="S127" i="31"/>
  <c r="W65" i="31"/>
  <c r="V62" i="31"/>
  <c r="Y61" i="31"/>
  <c r="V60" i="30"/>
  <c r="Y59" i="30"/>
  <c r="W64" i="30"/>
  <c r="V45" i="29"/>
  <c r="W49" i="29"/>
  <c r="Y18" i="18"/>
  <c r="V19" i="18"/>
  <c r="V19" i="20"/>
  <c r="Y18" i="20"/>
  <c r="Y18" i="19"/>
  <c r="V19" i="19"/>
  <c r="V19" i="17"/>
  <c r="Y18" i="17"/>
  <c r="W43" i="20"/>
  <c r="W42" i="19"/>
  <c r="W32" i="18"/>
  <c r="W32" i="17"/>
  <c r="T20" i="9"/>
  <c r="V19" i="9"/>
  <c r="T20" i="11"/>
  <c r="V19" i="11"/>
  <c r="V19" i="15"/>
  <c r="Y18" i="15"/>
  <c r="Y18" i="13"/>
  <c r="V19" i="13"/>
  <c r="U20" i="12"/>
  <c r="W19" i="12"/>
  <c r="U20" i="10"/>
  <c r="W19" i="10"/>
  <c r="W32" i="15"/>
  <c r="W32" i="13"/>
  <c r="V19" i="1"/>
  <c r="Y18" i="1"/>
  <c r="S128" i="31"/>
  <c r="V63" i="31"/>
  <c r="Y62" i="31"/>
  <c r="W66" i="31"/>
  <c r="W67" i="31"/>
  <c r="W65" i="30"/>
  <c r="V61" i="30"/>
  <c r="Y60" i="30"/>
  <c r="W50" i="29"/>
  <c r="V46" i="29"/>
  <c r="V20" i="17"/>
  <c r="Y19" i="17"/>
  <c r="V20" i="19"/>
  <c r="Y19" i="19"/>
  <c r="V20" i="20"/>
  <c r="Y19" i="20"/>
  <c r="Y19" i="18"/>
  <c r="V20" i="18"/>
  <c r="W44" i="20"/>
  <c r="W43" i="19"/>
  <c r="W33" i="18"/>
  <c r="W33" i="17"/>
  <c r="V20" i="15"/>
  <c r="Y19" i="15"/>
  <c r="U21" i="10"/>
  <c r="W20" i="10"/>
  <c r="T21" i="11"/>
  <c r="V20" i="11"/>
  <c r="U21" i="12"/>
  <c r="W20" i="12"/>
  <c r="V20" i="13"/>
  <c r="Y19" i="13"/>
  <c r="T21" i="9"/>
  <c r="V20" i="9"/>
  <c r="W33" i="15"/>
  <c r="W33" i="13"/>
  <c r="V20" i="1"/>
  <c r="Y19" i="1"/>
  <c r="W68" i="31"/>
  <c r="V64" i="31"/>
  <c r="Y63" i="31"/>
  <c r="V62" i="30"/>
  <c r="Y61" i="30"/>
  <c r="W66" i="30"/>
  <c r="V47" i="29"/>
  <c r="W51" i="29"/>
  <c r="Y20" i="20"/>
  <c r="V21" i="20"/>
  <c r="Y20" i="18"/>
  <c r="V21" i="18"/>
  <c r="V21" i="19"/>
  <c r="Y20" i="19"/>
  <c r="V21" i="17"/>
  <c r="Y20" i="17"/>
  <c r="W45" i="20"/>
  <c r="W44" i="19"/>
  <c r="W34" i="18"/>
  <c r="W34" i="17"/>
  <c r="T22" i="9"/>
  <c r="V21" i="9"/>
  <c r="W21" i="12"/>
  <c r="U22" i="12"/>
  <c r="V21" i="13"/>
  <c r="Y20" i="13"/>
  <c r="T22" i="11"/>
  <c r="V21" i="11"/>
  <c r="U22" i="10"/>
  <c r="W21" i="10"/>
  <c r="V21" i="15"/>
  <c r="Y20" i="15"/>
  <c r="W34" i="15"/>
  <c r="W34" i="13"/>
  <c r="V21" i="1"/>
  <c r="Y20" i="1"/>
  <c r="W69" i="31"/>
  <c r="V65" i="31"/>
  <c r="Y64" i="31"/>
  <c r="V63" i="30"/>
  <c r="Y62" i="30"/>
  <c r="W52" i="29"/>
  <c r="V48" i="29"/>
  <c r="V22" i="17"/>
  <c r="Y21" i="17"/>
  <c r="V22" i="19"/>
  <c r="Y21" i="19"/>
  <c r="V22" i="18"/>
  <c r="Y21" i="18"/>
  <c r="V22" i="20"/>
  <c r="Y21" i="20"/>
  <c r="W46" i="20"/>
  <c r="W45" i="19"/>
  <c r="W35" i="18"/>
  <c r="W35" i="17"/>
  <c r="V22" i="15"/>
  <c r="Y21" i="15"/>
  <c r="U23" i="10"/>
  <c r="W22" i="10"/>
  <c r="T23" i="11"/>
  <c r="V22" i="11"/>
  <c r="V22" i="13"/>
  <c r="Y21" i="13"/>
  <c r="U23" i="12"/>
  <c r="W22" i="12"/>
  <c r="T23" i="9"/>
  <c r="V22" i="9"/>
  <c r="W35" i="15"/>
  <c r="W35" i="13"/>
  <c r="V22" i="1"/>
  <c r="Y21" i="1"/>
  <c r="W70" i="31"/>
  <c r="V66" i="31"/>
  <c r="Y65" i="31"/>
  <c r="V64" i="30"/>
  <c r="Y63" i="30"/>
  <c r="V49" i="29"/>
  <c r="W53" i="29"/>
  <c r="Y22" i="20"/>
  <c r="V23" i="20"/>
  <c r="V23" i="18"/>
  <c r="Y22" i="18"/>
  <c r="V23" i="19"/>
  <c r="Y22" i="19"/>
  <c r="V23" i="17"/>
  <c r="Y22" i="17"/>
  <c r="W47" i="20"/>
  <c r="W46" i="19"/>
  <c r="W36" i="18"/>
  <c r="W36" i="17"/>
  <c r="T24" i="9"/>
  <c r="V23" i="9"/>
  <c r="T24" i="11"/>
  <c r="V23" i="11"/>
  <c r="V23" i="13"/>
  <c r="Y22" i="13"/>
  <c r="U24" i="10"/>
  <c r="W23" i="10"/>
  <c r="W23" i="12"/>
  <c r="U24" i="12"/>
  <c r="V23" i="15"/>
  <c r="Y22" i="15"/>
  <c r="W36" i="15"/>
  <c r="W36" i="13"/>
  <c r="V23" i="1"/>
  <c r="Y22" i="1"/>
  <c r="Y66" i="31"/>
  <c r="V67" i="31"/>
  <c r="W71" i="31"/>
  <c r="V65" i="30"/>
  <c r="Y64" i="30"/>
  <c r="W54" i="29"/>
  <c r="V50" i="29"/>
  <c r="Y23" i="18"/>
  <c r="V24" i="18"/>
  <c r="Y23" i="19"/>
  <c r="V24" i="19"/>
  <c r="V24" i="17"/>
  <c r="Y23" i="17"/>
  <c r="V24" i="20"/>
  <c r="Y23" i="20"/>
  <c r="W48" i="20"/>
  <c r="W47" i="19"/>
  <c r="W37" i="18"/>
  <c r="W37" i="17"/>
  <c r="V24" i="15"/>
  <c r="Y23" i="15"/>
  <c r="U25" i="12"/>
  <c r="W24" i="12"/>
  <c r="U25" i="10"/>
  <c r="W24" i="10"/>
  <c r="Y23" i="13"/>
  <c r="V24" i="13"/>
  <c r="T25" i="11"/>
  <c r="V24" i="11"/>
  <c r="T25" i="9"/>
  <c r="V24" i="9"/>
  <c r="W37" i="15"/>
  <c r="W37" i="13"/>
  <c r="V24" i="1"/>
  <c r="Y23" i="1"/>
  <c r="V68" i="31"/>
  <c r="Y67" i="31"/>
  <c r="W72" i="31"/>
  <c r="V66" i="30"/>
  <c r="Y66" i="30"/>
  <c r="Y65" i="30"/>
  <c r="V51" i="29"/>
  <c r="W55" i="29"/>
  <c r="V25" i="20"/>
  <c r="Y24" i="20"/>
  <c r="Y24" i="17"/>
  <c r="V25" i="17"/>
  <c r="V25" i="19"/>
  <c r="Y24" i="19"/>
  <c r="V25" i="18"/>
  <c r="Y24" i="18"/>
  <c r="W49" i="20"/>
  <c r="W48" i="19"/>
  <c r="W38" i="18"/>
  <c r="W38" i="17"/>
  <c r="V25" i="13"/>
  <c r="Y24" i="13"/>
  <c r="T26" i="11"/>
  <c r="V25" i="11"/>
  <c r="T26" i="9"/>
  <c r="V25" i="9"/>
  <c r="U26" i="12"/>
  <c r="W25" i="12"/>
  <c r="U26" i="10"/>
  <c r="W25" i="10"/>
  <c r="V25" i="15"/>
  <c r="Y24" i="15"/>
  <c r="W38" i="15"/>
  <c r="W38" i="13"/>
  <c r="V25" i="1"/>
  <c r="Y24" i="1"/>
  <c r="V69" i="31"/>
  <c r="Y68" i="31"/>
  <c r="W73" i="31"/>
  <c r="W56" i="29"/>
  <c r="V52" i="29"/>
  <c r="V26" i="18"/>
  <c r="Y25" i="18"/>
  <c r="V26" i="19"/>
  <c r="Y25" i="19"/>
  <c r="V26" i="17"/>
  <c r="Y25" i="17"/>
  <c r="V26" i="20"/>
  <c r="Y25" i="20"/>
  <c r="W50" i="20"/>
  <c r="W49" i="19"/>
  <c r="W39" i="18"/>
  <c r="W39" i="17"/>
  <c r="U27" i="12"/>
  <c r="W26" i="12"/>
  <c r="T27" i="9"/>
  <c r="V26" i="9"/>
  <c r="T27" i="11"/>
  <c r="V26" i="11"/>
  <c r="V26" i="15"/>
  <c r="Y25" i="15"/>
  <c r="U27" i="10"/>
  <c r="W26" i="10"/>
  <c r="Y25" i="13"/>
  <c r="V26" i="13"/>
  <c r="W39" i="15"/>
  <c r="W39" i="13"/>
  <c r="V26" i="1"/>
  <c r="Y25" i="1"/>
  <c r="V70" i="31"/>
  <c r="Y69" i="31"/>
  <c r="W74" i="31"/>
  <c r="V53" i="29"/>
  <c r="W57" i="29"/>
  <c r="V27" i="20"/>
  <c r="Y26" i="20"/>
  <c r="V27" i="17"/>
  <c r="Y26" i="17"/>
  <c r="V27" i="19"/>
  <c r="Y26" i="19"/>
  <c r="V27" i="18"/>
  <c r="Y26" i="18"/>
  <c r="W51" i="20"/>
  <c r="W50" i="19"/>
  <c r="W40" i="18"/>
  <c r="W40" i="17"/>
  <c r="V27" i="13"/>
  <c r="Y26" i="13"/>
  <c r="V27" i="15"/>
  <c r="Y26" i="15"/>
  <c r="T28" i="11"/>
  <c r="V27" i="11"/>
  <c r="T28" i="9"/>
  <c r="V27" i="9"/>
  <c r="U28" i="10"/>
  <c r="W27" i="10"/>
  <c r="U28" i="12"/>
  <c r="W27" i="12"/>
  <c r="W40" i="15"/>
  <c r="W40" i="13"/>
  <c r="V27" i="1"/>
  <c r="Y26" i="1"/>
  <c r="V71" i="31"/>
  <c r="Y70" i="31"/>
  <c r="W75" i="31"/>
  <c r="W58" i="29"/>
  <c r="V54" i="29"/>
  <c r="V28" i="18"/>
  <c r="Y27" i="18"/>
  <c r="V28" i="19"/>
  <c r="Y27" i="19"/>
  <c r="V28" i="17"/>
  <c r="Y27" i="17"/>
  <c r="V28" i="20"/>
  <c r="Y27" i="20"/>
  <c r="W52" i="20"/>
  <c r="W51" i="19"/>
  <c r="W41" i="18"/>
  <c r="W41" i="17"/>
  <c r="U29" i="10"/>
  <c r="W28" i="10"/>
  <c r="T29" i="11"/>
  <c r="V28" i="11"/>
  <c r="U29" i="12"/>
  <c r="W28" i="12"/>
  <c r="V28" i="15"/>
  <c r="Y27" i="15"/>
  <c r="T29" i="9"/>
  <c r="V28" i="9"/>
  <c r="V28" i="13"/>
  <c r="Y27" i="13"/>
  <c r="W41" i="15"/>
  <c r="W41" i="13"/>
  <c r="V28" i="1"/>
  <c r="Y27" i="1"/>
  <c r="V72" i="31"/>
  <c r="Y71" i="31"/>
  <c r="W76" i="31"/>
  <c r="V55" i="29"/>
  <c r="W59" i="29"/>
  <c r="Y28" i="20"/>
  <c r="V29" i="20"/>
  <c r="V29" i="19"/>
  <c r="Y28" i="19"/>
  <c r="Y28" i="17"/>
  <c r="V29" i="17"/>
  <c r="V29" i="18"/>
  <c r="Y28" i="18"/>
  <c r="W53" i="20"/>
  <c r="W52" i="19"/>
  <c r="W42" i="18"/>
  <c r="W42" i="17"/>
  <c r="V29" i="13"/>
  <c r="Y28" i="13"/>
  <c r="V29" i="15"/>
  <c r="Y28" i="15"/>
  <c r="W29" i="12"/>
  <c r="U30" i="12"/>
  <c r="V29" i="9"/>
  <c r="T30" i="9"/>
  <c r="T30" i="11"/>
  <c r="V29" i="11"/>
  <c r="U30" i="10"/>
  <c r="W29" i="10"/>
  <c r="W42" i="15"/>
  <c r="W42" i="13"/>
  <c r="V29" i="1"/>
  <c r="Y28" i="1"/>
  <c r="V73" i="31"/>
  <c r="Y72" i="31"/>
  <c r="W77" i="31"/>
  <c r="W60" i="29"/>
  <c r="V56" i="29"/>
  <c r="V30" i="18"/>
  <c r="Y29" i="18"/>
  <c r="V30" i="17"/>
  <c r="Y29" i="17"/>
  <c r="V30" i="19"/>
  <c r="Y29" i="19"/>
  <c r="V30" i="20"/>
  <c r="Y29" i="20"/>
  <c r="W54" i="20"/>
  <c r="W53" i="19"/>
  <c r="W43" i="18"/>
  <c r="W43" i="17"/>
  <c r="U31" i="10"/>
  <c r="W30" i="10"/>
  <c r="V30" i="9"/>
  <c r="T31" i="9"/>
  <c r="T31" i="11"/>
  <c r="V30" i="11"/>
  <c r="V30" i="15"/>
  <c r="Y29" i="15"/>
  <c r="U31" i="12"/>
  <c r="W30" i="12"/>
  <c r="V30" i="13"/>
  <c r="Y29" i="13"/>
  <c r="W43" i="15"/>
  <c r="W43" i="13"/>
  <c r="V30" i="1"/>
  <c r="Y29" i="1"/>
  <c r="V74" i="31"/>
  <c r="Y73" i="31"/>
  <c r="W78" i="31"/>
  <c r="V57" i="29"/>
  <c r="W61" i="29"/>
  <c r="Y30" i="20"/>
  <c r="V31" i="20"/>
  <c r="V31" i="19"/>
  <c r="Y30" i="19"/>
  <c r="V31" i="17"/>
  <c r="Y30" i="17"/>
  <c r="Y30" i="18"/>
  <c r="V31" i="18"/>
  <c r="W55" i="20"/>
  <c r="W54" i="19"/>
  <c r="W44" i="18"/>
  <c r="W44" i="17"/>
  <c r="W31" i="12"/>
  <c r="U32" i="12"/>
  <c r="V31" i="13"/>
  <c r="Y30" i="13"/>
  <c r="T32" i="11"/>
  <c r="V31" i="11"/>
  <c r="V31" i="15"/>
  <c r="Y30" i="15"/>
  <c r="T32" i="9"/>
  <c r="V31" i="9"/>
  <c r="U32" i="10"/>
  <c r="W31" i="10"/>
  <c r="W44" i="15"/>
  <c r="W44" i="13"/>
  <c r="V31" i="1"/>
  <c r="Y30" i="1"/>
  <c r="V75" i="31"/>
  <c r="Y74" i="31"/>
  <c r="W79" i="31"/>
  <c r="W62" i="29"/>
  <c r="V58" i="29"/>
  <c r="Y31" i="18"/>
  <c r="V32" i="18"/>
  <c r="V32" i="17"/>
  <c r="Y31" i="17"/>
  <c r="V32" i="19"/>
  <c r="Y31" i="19"/>
  <c r="V32" i="20"/>
  <c r="Y31" i="20"/>
  <c r="W56" i="20"/>
  <c r="W55" i="19"/>
  <c r="W45" i="18"/>
  <c r="W45" i="17"/>
  <c r="U33" i="10"/>
  <c r="W32" i="10"/>
  <c r="T33" i="9"/>
  <c r="V32" i="9"/>
  <c r="V32" i="13"/>
  <c r="Y31" i="13"/>
  <c r="U33" i="12"/>
  <c r="W32" i="12"/>
  <c r="V32" i="15"/>
  <c r="Y31" i="15"/>
  <c r="T33" i="11"/>
  <c r="V32" i="11"/>
  <c r="W45" i="15"/>
  <c r="W45" i="13"/>
  <c r="V32" i="1"/>
  <c r="Y31" i="1"/>
  <c r="V76" i="31"/>
  <c r="Y75" i="31"/>
  <c r="W80" i="31"/>
  <c r="V59" i="29"/>
  <c r="W63" i="29"/>
  <c r="Y32" i="20"/>
  <c r="V33" i="20"/>
  <c r="V33" i="19"/>
  <c r="Y32" i="19"/>
  <c r="Y32" i="17"/>
  <c r="V33" i="17"/>
  <c r="V33" i="18"/>
  <c r="Y32" i="18"/>
  <c r="W57" i="20"/>
  <c r="W56" i="19"/>
  <c r="W46" i="18"/>
  <c r="W46" i="17"/>
  <c r="T34" i="11"/>
  <c r="V33" i="11"/>
  <c r="V33" i="15"/>
  <c r="Y32" i="15"/>
  <c r="U34" i="12"/>
  <c r="W33" i="12"/>
  <c r="Y32" i="13"/>
  <c r="V33" i="13"/>
  <c r="T34" i="9"/>
  <c r="V33" i="9"/>
  <c r="U34" i="10"/>
  <c r="W33" i="10"/>
  <c r="W46" i="15"/>
  <c r="W46" i="13"/>
  <c r="V33" i="1"/>
  <c r="Y32" i="1"/>
  <c r="V77" i="31"/>
  <c r="Y76" i="31"/>
  <c r="W81" i="31"/>
  <c r="W64" i="29"/>
  <c r="V60" i="29"/>
  <c r="Y33" i="18"/>
  <c r="V34" i="18"/>
  <c r="V34" i="17"/>
  <c r="Y33" i="17"/>
  <c r="V34" i="19"/>
  <c r="Y33" i="19"/>
  <c r="V34" i="20"/>
  <c r="Y33" i="20"/>
  <c r="W58" i="20"/>
  <c r="W57" i="19"/>
  <c r="W47" i="18"/>
  <c r="W47" i="17"/>
  <c r="T35" i="9"/>
  <c r="V34" i="9"/>
  <c r="V34" i="15"/>
  <c r="Y33" i="15"/>
  <c r="U35" i="12"/>
  <c r="W34" i="12"/>
  <c r="U35" i="10"/>
  <c r="W34" i="10"/>
  <c r="V34" i="13"/>
  <c r="Y33" i="13"/>
  <c r="T35" i="11"/>
  <c r="V34" i="11"/>
  <c r="W47" i="15"/>
  <c r="W47" i="13"/>
  <c r="V34" i="1"/>
  <c r="Y33" i="1"/>
  <c r="V78" i="31"/>
  <c r="Y77" i="31"/>
  <c r="W82" i="31"/>
  <c r="V61" i="29"/>
  <c r="W65" i="29"/>
  <c r="Y34" i="20"/>
  <c r="V35" i="20"/>
  <c r="V35" i="19"/>
  <c r="Y34" i="19"/>
  <c r="V35" i="17"/>
  <c r="Y34" i="17"/>
  <c r="Y34" i="18"/>
  <c r="V35" i="18"/>
  <c r="W59" i="20"/>
  <c r="W58" i="19"/>
  <c r="W48" i="18"/>
  <c r="W48" i="17"/>
  <c r="T36" i="11"/>
  <c r="V35" i="11"/>
  <c r="V35" i="13"/>
  <c r="Y34" i="13"/>
  <c r="U36" i="10"/>
  <c r="W35" i="10"/>
  <c r="V35" i="15"/>
  <c r="Y34" i="15"/>
  <c r="U36" i="12"/>
  <c r="W35" i="12"/>
  <c r="T36" i="9"/>
  <c r="V35" i="9"/>
  <c r="W48" i="15"/>
  <c r="W48" i="13"/>
  <c r="V35" i="1"/>
  <c r="Y34" i="1"/>
  <c r="V79" i="31"/>
  <c r="Y78" i="31"/>
  <c r="W83" i="31"/>
  <c r="W66" i="29"/>
  <c r="V62" i="29"/>
  <c r="V36" i="18"/>
  <c r="Y35" i="18"/>
  <c r="V36" i="17"/>
  <c r="Y35" i="17"/>
  <c r="V36" i="19"/>
  <c r="Y35" i="19"/>
  <c r="V36" i="20"/>
  <c r="Y35" i="20"/>
  <c r="W60" i="20"/>
  <c r="W59" i="19"/>
  <c r="W49" i="18"/>
  <c r="W49" i="17"/>
  <c r="U37" i="12"/>
  <c r="W36" i="12"/>
  <c r="U37" i="10"/>
  <c r="W36" i="10"/>
  <c r="V36" i="9"/>
  <c r="T37" i="9"/>
  <c r="V36" i="15"/>
  <c r="Y35" i="15"/>
  <c r="Y35" i="13"/>
  <c r="V36" i="13"/>
  <c r="T37" i="11"/>
  <c r="V36" i="11"/>
  <c r="W49" i="15"/>
  <c r="W49" i="13"/>
  <c r="V36" i="1"/>
  <c r="Y35" i="1"/>
  <c r="V80" i="31"/>
  <c r="Y79" i="31"/>
  <c r="W84" i="31"/>
  <c r="V63" i="29"/>
  <c r="V37" i="20"/>
  <c r="Y36" i="20"/>
  <c r="V37" i="19"/>
  <c r="Y36" i="19"/>
  <c r="Y36" i="17"/>
  <c r="V37" i="17"/>
  <c r="Y36" i="18"/>
  <c r="V37" i="18"/>
  <c r="W61" i="20"/>
  <c r="W60" i="19"/>
  <c r="W50" i="18"/>
  <c r="W50" i="17"/>
  <c r="V37" i="15"/>
  <c r="Y36" i="15"/>
  <c r="T38" i="11"/>
  <c r="V37" i="11"/>
  <c r="T38" i="9"/>
  <c r="V37" i="9"/>
  <c r="V37" i="13"/>
  <c r="Y36" i="13"/>
  <c r="U38" i="10"/>
  <c r="W37" i="10"/>
  <c r="U38" i="12"/>
  <c r="W37" i="12"/>
  <c r="W50" i="15"/>
  <c r="W50" i="13"/>
  <c r="V37" i="1"/>
  <c r="Y36" i="1"/>
  <c r="V81" i="31"/>
  <c r="Y80" i="31"/>
  <c r="W85" i="31"/>
  <c r="V64" i="29"/>
  <c r="V38" i="18"/>
  <c r="Y37" i="18"/>
  <c r="V38" i="17"/>
  <c r="Y37" i="17"/>
  <c r="Y37" i="19"/>
  <c r="V38" i="19"/>
  <c r="V38" i="20"/>
  <c r="Y37" i="20"/>
  <c r="W62" i="20"/>
  <c r="W61" i="19"/>
  <c r="W51" i="18"/>
  <c r="W51" i="17"/>
  <c r="U39" i="12"/>
  <c r="W38" i="12"/>
  <c r="U39" i="10"/>
  <c r="W38" i="10"/>
  <c r="Y37" i="13"/>
  <c r="V38" i="13"/>
  <c r="T39" i="9"/>
  <c r="V38" i="9"/>
  <c r="T39" i="11"/>
  <c r="V38" i="11"/>
  <c r="V38" i="15"/>
  <c r="Y37" i="15"/>
  <c r="W51" i="15"/>
  <c r="W51" i="13"/>
  <c r="V38" i="1"/>
  <c r="Y37" i="1"/>
  <c r="V82" i="31"/>
  <c r="Y81" i="31"/>
  <c r="W86" i="31"/>
  <c r="V65" i="29"/>
  <c r="Y38" i="20"/>
  <c r="V39" i="20"/>
  <c r="V39" i="19"/>
  <c r="Y38" i="19"/>
  <c r="Y38" i="17"/>
  <c r="V39" i="17"/>
  <c r="V39" i="18"/>
  <c r="Y38" i="18"/>
  <c r="W63" i="20"/>
  <c r="W62" i="19"/>
  <c r="W52" i="18"/>
  <c r="W52" i="17"/>
  <c r="T40" i="11"/>
  <c r="V39" i="11"/>
  <c r="V39" i="15"/>
  <c r="Y38" i="15"/>
  <c r="T40" i="9"/>
  <c r="V39" i="9"/>
  <c r="Y38" i="13"/>
  <c r="V39" i="13"/>
  <c r="U40" i="10"/>
  <c r="W39" i="10"/>
  <c r="U40" i="12"/>
  <c r="W39" i="12"/>
  <c r="W52" i="15"/>
  <c r="W52" i="13"/>
  <c r="V39" i="1"/>
  <c r="Y38" i="1"/>
  <c r="V83" i="31"/>
  <c r="Y82" i="31"/>
  <c r="W87" i="31"/>
  <c r="V66" i="29"/>
  <c r="V40" i="17"/>
  <c r="Y39" i="17"/>
  <c r="V40" i="18"/>
  <c r="Y39" i="18"/>
  <c r="Y39" i="19"/>
  <c r="V40" i="19"/>
  <c r="V40" i="20"/>
  <c r="Y39" i="20"/>
  <c r="W64" i="20"/>
  <c r="W63" i="19"/>
  <c r="W53" i="18"/>
  <c r="W53" i="17"/>
  <c r="U41" i="10"/>
  <c r="W40" i="10"/>
  <c r="W40" i="12"/>
  <c r="U41" i="12"/>
  <c r="V40" i="13"/>
  <c r="Y39" i="13"/>
  <c r="V40" i="15"/>
  <c r="Y39" i="15"/>
  <c r="T41" i="9"/>
  <c r="V40" i="9"/>
  <c r="T41" i="11"/>
  <c r="V40" i="11"/>
  <c r="W53" i="15"/>
  <c r="W53" i="13"/>
  <c r="V40" i="1"/>
  <c r="Y39" i="1"/>
  <c r="V84" i="31"/>
  <c r="Y83" i="31"/>
  <c r="W88" i="31"/>
  <c r="V41" i="18"/>
  <c r="Y40" i="18"/>
  <c r="Y40" i="17"/>
  <c r="V41" i="17"/>
  <c r="Y40" i="20"/>
  <c r="V41" i="20"/>
  <c r="Y40" i="19"/>
  <c r="V41" i="19"/>
  <c r="W65" i="20"/>
  <c r="W64" i="19"/>
  <c r="W54" i="18"/>
  <c r="W54" i="17"/>
  <c r="T42" i="9"/>
  <c r="V41" i="9"/>
  <c r="V41" i="15"/>
  <c r="Y40" i="15"/>
  <c r="T42" i="11"/>
  <c r="V41" i="11"/>
  <c r="Y40" i="13"/>
  <c r="V41" i="13"/>
  <c r="W41" i="12"/>
  <c r="U42" i="12"/>
  <c r="U42" i="10"/>
  <c r="W41" i="10"/>
  <c r="W54" i="15"/>
  <c r="W54" i="13"/>
  <c r="V41" i="1"/>
  <c r="Y40" i="1"/>
  <c r="V85" i="31"/>
  <c r="Y84" i="31"/>
  <c r="W89" i="31"/>
  <c r="V42" i="19"/>
  <c r="Y41" i="19"/>
  <c r="Y41" i="20"/>
  <c r="V42" i="20"/>
  <c r="V42" i="17"/>
  <c r="Y41" i="17"/>
  <c r="Y41" i="18"/>
  <c r="V42" i="18"/>
  <c r="W66" i="20"/>
  <c r="W65" i="19"/>
  <c r="W55" i="18"/>
  <c r="W55" i="17"/>
  <c r="V42" i="13"/>
  <c r="Y41" i="13"/>
  <c r="T43" i="11"/>
  <c r="V42" i="11"/>
  <c r="U43" i="12"/>
  <c r="W42" i="12"/>
  <c r="U43" i="10"/>
  <c r="W42" i="10"/>
  <c r="V42" i="15"/>
  <c r="Y41" i="15"/>
  <c r="T43" i="9"/>
  <c r="V42" i="9"/>
  <c r="W55" i="15"/>
  <c r="W55" i="13"/>
  <c r="V42" i="1"/>
  <c r="Y41" i="1"/>
  <c r="V86" i="31"/>
  <c r="Y85" i="31"/>
  <c r="W90" i="31"/>
  <c r="Y42" i="18"/>
  <c r="V43" i="18"/>
  <c r="V43" i="17"/>
  <c r="Y42" i="17"/>
  <c r="V43" i="20"/>
  <c r="Y42" i="20"/>
  <c r="Y42" i="19"/>
  <c r="V43" i="19"/>
  <c r="W66" i="19"/>
  <c r="W56" i="18"/>
  <c r="W56" i="17"/>
  <c r="T44" i="9"/>
  <c r="V43" i="9"/>
  <c r="V43" i="15"/>
  <c r="Y42" i="15"/>
  <c r="U44" i="10"/>
  <c r="W43" i="10"/>
  <c r="U44" i="12"/>
  <c r="W43" i="12"/>
  <c r="T44" i="11"/>
  <c r="V43" i="11"/>
  <c r="Y42" i="13"/>
  <c r="V43" i="13"/>
  <c r="W56" i="15"/>
  <c r="W56" i="13"/>
  <c r="V43" i="1"/>
  <c r="Y42" i="1"/>
  <c r="V87" i="31"/>
  <c r="Y86" i="31"/>
  <c r="W91" i="31"/>
  <c r="V44" i="19"/>
  <c r="Y43" i="19"/>
  <c r="V44" i="20"/>
  <c r="Y43" i="20"/>
  <c r="V44" i="17"/>
  <c r="Y43" i="17"/>
  <c r="V44" i="18"/>
  <c r="Y43" i="18"/>
  <c r="W57" i="18"/>
  <c r="W57" i="17"/>
  <c r="T45" i="11"/>
  <c r="V44" i="11"/>
  <c r="V44" i="13"/>
  <c r="Y43" i="13"/>
  <c r="U45" i="12"/>
  <c r="W44" i="12"/>
  <c r="U45" i="10"/>
  <c r="W44" i="10"/>
  <c r="V44" i="15"/>
  <c r="Y43" i="15"/>
  <c r="T45" i="9"/>
  <c r="V44" i="9"/>
  <c r="W57" i="15"/>
  <c r="W57" i="13"/>
  <c r="V44" i="1"/>
  <c r="Y43" i="1"/>
  <c r="V88" i="31"/>
  <c r="Y87" i="31"/>
  <c r="W92" i="31"/>
  <c r="V45" i="18"/>
  <c r="Y44" i="18"/>
  <c r="Y44" i="17"/>
  <c r="V45" i="17"/>
  <c r="Y44" i="20"/>
  <c r="V45" i="20"/>
  <c r="Y44" i="19"/>
  <c r="V45" i="19"/>
  <c r="W58" i="18"/>
  <c r="W58" i="17"/>
  <c r="T46" i="9"/>
  <c r="V45" i="9"/>
  <c r="V45" i="15"/>
  <c r="Y44" i="15"/>
  <c r="U46" i="10"/>
  <c r="W45" i="10"/>
  <c r="U46" i="12"/>
  <c r="W45" i="12"/>
  <c r="V45" i="13"/>
  <c r="Y44" i="13"/>
  <c r="T46" i="11"/>
  <c r="V45" i="11"/>
  <c r="W58" i="15"/>
  <c r="W58" i="13"/>
  <c r="V45" i="1"/>
  <c r="Y44" i="1"/>
  <c r="V89" i="31"/>
  <c r="Y88" i="31"/>
  <c r="W93" i="31"/>
  <c r="V46" i="19"/>
  <c r="Y45" i="19"/>
  <c r="Y45" i="20"/>
  <c r="V46" i="20"/>
  <c r="Y45" i="17"/>
  <c r="V46" i="17"/>
  <c r="V46" i="18"/>
  <c r="Y45" i="18"/>
  <c r="W59" i="18"/>
  <c r="W59" i="17"/>
  <c r="W46" i="12"/>
  <c r="U47" i="12"/>
  <c r="U47" i="10"/>
  <c r="W46" i="10"/>
  <c r="V46" i="15"/>
  <c r="Y45" i="15"/>
  <c r="T47" i="11"/>
  <c r="V46" i="11"/>
  <c r="V46" i="13"/>
  <c r="Y45" i="13"/>
  <c r="T47" i="9"/>
  <c r="V46" i="9"/>
  <c r="W59" i="15"/>
  <c r="W59" i="13"/>
  <c r="V46" i="1"/>
  <c r="Y45" i="1"/>
  <c r="V90" i="31"/>
  <c r="Y89" i="31"/>
  <c r="W94" i="31"/>
  <c r="Y46" i="17"/>
  <c r="V47" i="17"/>
  <c r="V47" i="18"/>
  <c r="Y46" i="18"/>
  <c r="Y46" i="20"/>
  <c r="V47" i="20"/>
  <c r="V47" i="19"/>
  <c r="Y46" i="19"/>
  <c r="W60" i="18"/>
  <c r="W60" i="17"/>
  <c r="T48" i="11"/>
  <c r="V47" i="11"/>
  <c r="V47" i="15"/>
  <c r="Y46" i="15"/>
  <c r="U48" i="10"/>
  <c r="W47" i="10"/>
  <c r="V47" i="13"/>
  <c r="Y46" i="13"/>
  <c r="U48" i="12"/>
  <c r="W47" i="12"/>
  <c r="T48" i="9"/>
  <c r="V47" i="9"/>
  <c r="W60" i="15"/>
  <c r="W60" i="13"/>
  <c r="V47" i="1"/>
  <c r="Y46" i="1"/>
  <c r="V91" i="31"/>
  <c r="Y90" i="31"/>
  <c r="W95" i="31"/>
  <c r="Y47" i="19"/>
  <c r="V48" i="19"/>
  <c r="V48" i="20"/>
  <c r="Y47" i="20"/>
  <c r="V48" i="18"/>
  <c r="Y47" i="18"/>
  <c r="Y47" i="17"/>
  <c r="V48" i="17"/>
  <c r="W61" i="18"/>
  <c r="W61" i="17"/>
  <c r="V48" i="9"/>
  <c r="T49" i="9"/>
  <c r="U49" i="12"/>
  <c r="W48" i="12"/>
  <c r="V48" i="13"/>
  <c r="Y47" i="13"/>
  <c r="U49" i="10"/>
  <c r="W48" i="10"/>
  <c r="V48" i="15"/>
  <c r="Y47" i="15"/>
  <c r="T49" i="11"/>
  <c r="V48" i="11"/>
  <c r="W61" i="15"/>
  <c r="W61" i="13"/>
  <c r="V48" i="1"/>
  <c r="Y47" i="1"/>
  <c r="V92" i="31"/>
  <c r="Y91" i="31"/>
  <c r="W96" i="31"/>
  <c r="V49" i="17"/>
  <c r="Y48" i="17"/>
  <c r="V49" i="18"/>
  <c r="Y48" i="18"/>
  <c r="Y48" i="20"/>
  <c r="V49" i="20"/>
  <c r="V49" i="19"/>
  <c r="Y48" i="19"/>
  <c r="W62" i="18"/>
  <c r="W62" i="17"/>
  <c r="T50" i="11"/>
  <c r="V49" i="11"/>
  <c r="U50" i="10"/>
  <c r="W49" i="10"/>
  <c r="V49" i="15"/>
  <c r="Y48" i="15"/>
  <c r="V49" i="13"/>
  <c r="Y48" i="13"/>
  <c r="U50" i="12"/>
  <c r="W49" i="12"/>
  <c r="T50" i="9"/>
  <c r="V49" i="9"/>
  <c r="W62" i="15"/>
  <c r="W62" i="13"/>
  <c r="V49" i="1"/>
  <c r="Y48" i="1"/>
  <c r="V93" i="31"/>
  <c r="Y92" i="31"/>
  <c r="W97" i="31"/>
  <c r="V50" i="19"/>
  <c r="Y49" i="19"/>
  <c r="Y49" i="20"/>
  <c r="V50" i="20"/>
  <c r="V50" i="18"/>
  <c r="Y49" i="18"/>
  <c r="Y49" i="17"/>
  <c r="V50" i="17"/>
  <c r="W63" i="18"/>
  <c r="W63" i="17"/>
  <c r="V50" i="9"/>
  <c r="T51" i="9"/>
  <c r="W50" i="12"/>
  <c r="U51" i="12"/>
  <c r="V50" i="15"/>
  <c r="Y49" i="15"/>
  <c r="U51" i="10"/>
  <c r="W50" i="10"/>
  <c r="V50" i="13"/>
  <c r="Y49" i="13"/>
  <c r="T51" i="11"/>
  <c r="V50" i="11"/>
  <c r="W63" i="15"/>
  <c r="W63" i="13"/>
  <c r="V50" i="1"/>
  <c r="Y49" i="1"/>
  <c r="V94" i="31"/>
  <c r="Y93" i="31"/>
  <c r="W98" i="31"/>
  <c r="V51" i="17"/>
  <c r="Y50" i="17"/>
  <c r="V51" i="18"/>
  <c r="Y50" i="18"/>
  <c r="Y50" i="20"/>
  <c r="V51" i="20"/>
  <c r="Y50" i="19"/>
  <c r="V51" i="19"/>
  <c r="W64" i="18"/>
  <c r="W64" i="17"/>
  <c r="V51" i="13"/>
  <c r="Y50" i="13"/>
  <c r="U52" i="10"/>
  <c r="W51" i="10"/>
  <c r="V51" i="15"/>
  <c r="Y50" i="15"/>
  <c r="T52" i="11"/>
  <c r="V51" i="11"/>
  <c r="U52" i="12"/>
  <c r="W51" i="12"/>
  <c r="T52" i="9"/>
  <c r="V51" i="9"/>
  <c r="W64" i="15"/>
  <c r="W64" i="13"/>
  <c r="V51" i="1"/>
  <c r="Y50" i="1"/>
  <c r="V95" i="31"/>
  <c r="Y94" i="31"/>
  <c r="W99" i="31"/>
  <c r="V52" i="19"/>
  <c r="Y51" i="19"/>
  <c r="Y51" i="20"/>
  <c r="V52" i="20"/>
  <c r="Y51" i="18"/>
  <c r="V52" i="18"/>
  <c r="V52" i="17"/>
  <c r="Y51" i="17"/>
  <c r="W65" i="18"/>
  <c r="W65" i="17"/>
  <c r="T53" i="9"/>
  <c r="V52" i="9"/>
  <c r="U53" i="12"/>
  <c r="W52" i="12"/>
  <c r="T53" i="11"/>
  <c r="V52" i="11"/>
  <c r="V52" i="15"/>
  <c r="Y51" i="15"/>
  <c r="U53" i="10"/>
  <c r="W52" i="10"/>
  <c r="V52" i="13"/>
  <c r="Y51" i="13"/>
  <c r="W65" i="15"/>
  <c r="W65" i="13"/>
  <c r="V52" i="1"/>
  <c r="Y51" i="1"/>
  <c r="V96" i="31"/>
  <c r="Y95" i="31"/>
  <c r="W100" i="31"/>
  <c r="V53" i="17"/>
  <c r="Y52" i="17"/>
  <c r="Y52" i="20"/>
  <c r="V53" i="20"/>
  <c r="Y52" i="18"/>
  <c r="V53" i="18"/>
  <c r="V53" i="19"/>
  <c r="Y52" i="19"/>
  <c r="W66" i="18"/>
  <c r="W66" i="17"/>
  <c r="U54" i="10"/>
  <c r="W53" i="10"/>
  <c r="V53" i="13"/>
  <c r="Y52" i="13"/>
  <c r="U54" i="12"/>
  <c r="W53" i="12"/>
  <c r="V53" i="15"/>
  <c r="Y52" i="15"/>
  <c r="T54" i="11"/>
  <c r="V53" i="11"/>
  <c r="V53" i="9"/>
  <c r="T54" i="9"/>
  <c r="W66" i="15"/>
  <c r="W66" i="13"/>
  <c r="V53" i="1"/>
  <c r="Y52" i="1"/>
  <c r="V97" i="31"/>
  <c r="Y96" i="31"/>
  <c r="W101" i="31"/>
  <c r="V54" i="19"/>
  <c r="Y53" i="19"/>
  <c r="V54" i="18"/>
  <c r="Y53" i="18"/>
  <c r="Y53" i="20"/>
  <c r="V54" i="20"/>
  <c r="V54" i="17"/>
  <c r="Y53" i="17"/>
  <c r="T55" i="9"/>
  <c r="V54" i="9"/>
  <c r="T55" i="11"/>
  <c r="V54" i="11"/>
  <c r="W54" i="12"/>
  <c r="U55" i="12"/>
  <c r="V54" i="15"/>
  <c r="Y53" i="15"/>
  <c r="V54" i="13"/>
  <c r="Y53" i="13"/>
  <c r="U55" i="10"/>
  <c r="W54" i="10"/>
  <c r="V54" i="1"/>
  <c r="Y53" i="1"/>
  <c r="V98" i="31"/>
  <c r="Y97" i="31"/>
  <c r="W102" i="31"/>
  <c r="V55" i="17"/>
  <c r="Y54" i="17"/>
  <c r="Y54" i="20"/>
  <c r="V55" i="20"/>
  <c r="V55" i="18"/>
  <c r="Y54" i="18"/>
  <c r="V55" i="19"/>
  <c r="Y54" i="19"/>
  <c r="U56" i="10"/>
  <c r="W55" i="10"/>
  <c r="U56" i="12"/>
  <c r="W55" i="12"/>
  <c r="T56" i="11"/>
  <c r="V55" i="11"/>
  <c r="V55" i="15"/>
  <c r="Y54" i="15"/>
  <c r="V55" i="13"/>
  <c r="Y54" i="13"/>
  <c r="T56" i="9"/>
  <c r="V55" i="9"/>
  <c r="V55" i="1"/>
  <c r="Y54" i="1"/>
  <c r="V99" i="31"/>
  <c r="Y98" i="31"/>
  <c r="W103" i="31"/>
  <c r="V56" i="19"/>
  <c r="Y55" i="19"/>
  <c r="V56" i="18"/>
  <c r="Y55" i="18"/>
  <c r="V56" i="20"/>
  <c r="Y55" i="20"/>
  <c r="V56" i="17"/>
  <c r="Y55" i="17"/>
  <c r="T57" i="9"/>
  <c r="V56" i="9"/>
  <c r="Y55" i="13"/>
  <c r="V56" i="13"/>
  <c r="T57" i="11"/>
  <c r="V56" i="11"/>
  <c r="V56" i="15"/>
  <c r="Y55" i="15"/>
  <c r="U57" i="12"/>
  <c r="W56" i="12"/>
  <c r="U57" i="10"/>
  <c r="W56" i="10"/>
  <c r="V56" i="1"/>
  <c r="Y55" i="1"/>
  <c r="V100" i="31"/>
  <c r="Y99" i="31"/>
  <c r="W104" i="31"/>
  <c r="V57" i="20"/>
  <c r="Y56" i="20"/>
  <c r="Y56" i="19"/>
  <c r="V57" i="19"/>
  <c r="V57" i="17"/>
  <c r="Y56" i="17"/>
  <c r="V57" i="18"/>
  <c r="Y56" i="18"/>
  <c r="U58" i="12"/>
  <c r="W57" i="12"/>
  <c r="U58" i="10"/>
  <c r="W57" i="10"/>
  <c r="T58" i="11"/>
  <c r="V57" i="11"/>
  <c r="V57" i="13"/>
  <c r="Y56" i="13"/>
  <c r="V57" i="15"/>
  <c r="Y56" i="15"/>
  <c r="T58" i="9"/>
  <c r="V57" i="9"/>
  <c r="V57" i="1"/>
  <c r="Y56" i="1"/>
  <c r="V101" i="31"/>
  <c r="Y100" i="31"/>
  <c r="W105" i="31"/>
  <c r="Y57" i="17"/>
  <c r="V58" i="17"/>
  <c r="Y57" i="19"/>
  <c r="V58" i="19"/>
  <c r="V58" i="18"/>
  <c r="Y57" i="18"/>
  <c r="Y57" i="20"/>
  <c r="V58" i="20"/>
  <c r="T59" i="9"/>
  <c r="V58" i="9"/>
  <c r="V58" i="15"/>
  <c r="Y57" i="15"/>
  <c r="T59" i="11"/>
  <c r="V58" i="11"/>
  <c r="V58" i="13"/>
  <c r="Y57" i="13"/>
  <c r="U59" i="10"/>
  <c r="W58" i="10"/>
  <c r="U59" i="12"/>
  <c r="W58" i="12"/>
  <c r="V58" i="1"/>
  <c r="Y57" i="1"/>
  <c r="V102" i="31"/>
  <c r="Y101" i="31"/>
  <c r="W106" i="31"/>
  <c r="V59" i="20"/>
  <c r="Y58" i="20"/>
  <c r="V59" i="19"/>
  <c r="Y58" i="19"/>
  <c r="Y58" i="18"/>
  <c r="V59" i="18"/>
  <c r="Y58" i="17"/>
  <c r="V59" i="17"/>
  <c r="U60" i="12"/>
  <c r="W59" i="12"/>
  <c r="U60" i="10"/>
  <c r="W59" i="10"/>
  <c r="T60" i="11"/>
  <c r="V59" i="11"/>
  <c r="V59" i="13"/>
  <c r="Y58" i="13"/>
  <c r="V59" i="15"/>
  <c r="Y58" i="15"/>
  <c r="T60" i="9"/>
  <c r="V59" i="9"/>
  <c r="V59" i="1"/>
  <c r="Y58" i="1"/>
  <c r="V103" i="31"/>
  <c r="Y102" i="31"/>
  <c r="W107" i="31"/>
  <c r="Y59" i="19"/>
  <c r="V60" i="19"/>
  <c r="Y59" i="17"/>
  <c r="V60" i="17"/>
  <c r="V60" i="18"/>
  <c r="Y59" i="18"/>
  <c r="Y59" i="20"/>
  <c r="V60" i="20"/>
  <c r="V60" i="9"/>
  <c r="T61" i="9"/>
  <c r="V60" i="15"/>
  <c r="Y59" i="15"/>
  <c r="T61" i="11"/>
  <c r="V60" i="11"/>
  <c r="Y59" i="13"/>
  <c r="V60" i="13"/>
  <c r="U61" i="10"/>
  <c r="W60" i="10"/>
  <c r="U61" i="12"/>
  <c r="W60" i="12"/>
  <c r="V60" i="1"/>
  <c r="Y59" i="1"/>
  <c r="V104" i="31"/>
  <c r="Y103" i="31"/>
  <c r="W108" i="31"/>
  <c r="Y60" i="17"/>
  <c r="V61" i="17"/>
  <c r="V61" i="20"/>
  <c r="Y60" i="20"/>
  <c r="V61" i="19"/>
  <c r="Y60" i="19"/>
  <c r="Y60" i="18"/>
  <c r="V61" i="18"/>
  <c r="W61" i="12"/>
  <c r="U62" i="12"/>
  <c r="T62" i="11"/>
  <c r="V61" i="11"/>
  <c r="U62" i="10"/>
  <c r="W61" i="10"/>
  <c r="V61" i="13"/>
  <c r="Y60" i="13"/>
  <c r="V61" i="15"/>
  <c r="Y60" i="15"/>
  <c r="T62" i="9"/>
  <c r="V61" i="9"/>
  <c r="V61" i="1"/>
  <c r="Y60" i="1"/>
  <c r="V105" i="31"/>
  <c r="Y104" i="31"/>
  <c r="W109" i="31"/>
  <c r="V62" i="20"/>
  <c r="Y61" i="20"/>
  <c r="V62" i="18"/>
  <c r="Y61" i="18"/>
  <c r="V62" i="17"/>
  <c r="Y61" i="17"/>
  <c r="V62" i="19"/>
  <c r="Y61" i="19"/>
  <c r="V62" i="15"/>
  <c r="Y61" i="15"/>
  <c r="V62" i="13"/>
  <c r="Y61" i="13"/>
  <c r="U63" i="10"/>
  <c r="W62" i="10"/>
  <c r="T63" i="11"/>
  <c r="V62" i="11"/>
  <c r="W62" i="12"/>
  <c r="U63" i="12"/>
  <c r="V62" i="9"/>
  <c r="T63" i="9"/>
  <c r="V62" i="1"/>
  <c r="Y61" i="1"/>
  <c r="V106" i="31"/>
  <c r="Y105" i="31"/>
  <c r="W110" i="31"/>
  <c r="Y62" i="19"/>
  <c r="V63" i="19"/>
  <c r="V63" i="17"/>
  <c r="Y62" i="17"/>
  <c r="Y62" i="18"/>
  <c r="V63" i="18"/>
  <c r="V63" i="20"/>
  <c r="Y62" i="20"/>
  <c r="T64" i="9"/>
  <c r="V63" i="9"/>
  <c r="T64" i="11"/>
  <c r="V63" i="11"/>
  <c r="U64" i="12"/>
  <c r="W63" i="12"/>
  <c r="U64" i="10"/>
  <c r="W63" i="10"/>
  <c r="V63" i="13"/>
  <c r="Y62" i="13"/>
  <c r="V63" i="15"/>
  <c r="Y62" i="15"/>
  <c r="V63" i="1"/>
  <c r="Y62" i="1"/>
  <c r="V107" i="31"/>
  <c r="Y106" i="31"/>
  <c r="W111" i="31"/>
  <c r="Y63" i="20"/>
  <c r="V64" i="20"/>
  <c r="Y63" i="17"/>
  <c r="V64" i="17"/>
  <c r="V64" i="19"/>
  <c r="Y63" i="19"/>
  <c r="V64" i="18"/>
  <c r="Y63" i="18"/>
  <c r="V64" i="15"/>
  <c r="Y63" i="15"/>
  <c r="V64" i="13"/>
  <c r="Y63" i="13"/>
  <c r="T65" i="11"/>
  <c r="V64" i="11"/>
  <c r="U65" i="12"/>
  <c r="W64" i="12"/>
  <c r="U65" i="10"/>
  <c r="W64" i="10"/>
  <c r="V64" i="9"/>
  <c r="T65" i="9"/>
  <c r="V64" i="1"/>
  <c r="Y63" i="1"/>
  <c r="V108" i="31"/>
  <c r="Y107" i="31"/>
  <c r="W112" i="31"/>
  <c r="V65" i="18"/>
  <c r="Y64" i="18"/>
  <c r="Y64" i="17"/>
  <c r="V65" i="17"/>
  <c r="V65" i="19"/>
  <c r="Y64" i="19"/>
  <c r="V65" i="20"/>
  <c r="Y64" i="20"/>
  <c r="U66" i="10"/>
  <c r="W66" i="10"/>
  <c r="W65" i="10"/>
  <c r="U66" i="12"/>
  <c r="W66" i="12"/>
  <c r="W65" i="12"/>
  <c r="T66" i="9"/>
  <c r="V66" i="9"/>
  <c r="V65" i="9"/>
  <c r="T66" i="11"/>
  <c r="V66" i="11"/>
  <c r="V65" i="11"/>
  <c r="V65" i="13"/>
  <c r="Y64" i="13"/>
  <c r="V65" i="15"/>
  <c r="Y64" i="15"/>
  <c r="V65" i="1"/>
  <c r="Y64" i="1"/>
  <c r="V109" i="31"/>
  <c r="Y108" i="31"/>
  <c r="W113" i="31"/>
  <c r="V66" i="17"/>
  <c r="Y66" i="17"/>
  <c r="Y65" i="17"/>
  <c r="V66" i="20"/>
  <c r="Y66" i="20"/>
  <c r="Y65" i="20"/>
  <c r="V66" i="19"/>
  <c r="Y66" i="19"/>
  <c r="Y65" i="19"/>
  <c r="V66" i="18"/>
  <c r="Y66" i="18"/>
  <c r="Y65" i="18"/>
  <c r="Y65" i="13"/>
  <c r="V66" i="13"/>
  <c r="Y66" i="13"/>
  <c r="V66" i="15"/>
  <c r="Y66" i="15"/>
  <c r="Y65" i="15"/>
  <c r="V66" i="1"/>
  <c r="Y66" i="1"/>
  <c r="Y65" i="1"/>
  <c r="V110" i="31"/>
  <c r="Y109" i="31"/>
  <c r="W114" i="31"/>
  <c r="E56" i="29"/>
  <c r="D67" i="29"/>
  <c r="S7" i="29"/>
  <c r="S8" i="29"/>
  <c r="D74" i="29"/>
  <c r="D78" i="29"/>
  <c r="D80" i="29"/>
  <c r="D82" i="29"/>
  <c r="D53" i="29"/>
  <c r="H102" i="29"/>
  <c r="H104" i="29"/>
  <c r="I104" i="29"/>
  <c r="D76" i="29"/>
  <c r="V111" i="31"/>
  <c r="Y110" i="31"/>
  <c r="W115" i="31"/>
  <c r="S9" i="29"/>
  <c r="Y8" i="29"/>
  <c r="Y7" i="29"/>
  <c r="E57" i="29"/>
  <c r="D65" i="29"/>
  <c r="D68" i="29"/>
  <c r="Y9" i="29"/>
  <c r="S10" i="29"/>
  <c r="V112" i="31"/>
  <c r="Y111" i="31"/>
  <c r="W116" i="31"/>
  <c r="S11" i="29"/>
  <c r="Y10" i="29"/>
  <c r="V113" i="31"/>
  <c r="Y112" i="31"/>
  <c r="W117" i="31"/>
  <c r="Y11" i="29"/>
  <c r="S12" i="29"/>
  <c r="V114" i="31"/>
  <c r="Y113" i="31"/>
  <c r="W118" i="31"/>
  <c r="S13" i="29"/>
  <c r="Y12" i="29"/>
  <c r="V115" i="31"/>
  <c r="Y114" i="31"/>
  <c r="W119" i="31"/>
  <c r="S14" i="29"/>
  <c r="Y13" i="29"/>
  <c r="V116" i="31"/>
  <c r="Y115" i="31"/>
  <c r="W120" i="31"/>
  <c r="Y14" i="29"/>
  <c r="S15" i="29"/>
  <c r="V117" i="31"/>
  <c r="Y116" i="31"/>
  <c r="W121" i="31"/>
  <c r="S16" i="29"/>
  <c r="Y15" i="29"/>
  <c r="V118" i="31"/>
  <c r="Y117" i="31"/>
  <c r="W122" i="31"/>
  <c r="S17" i="29"/>
  <c r="Y16" i="29"/>
  <c r="V119" i="31"/>
  <c r="Y118" i="31"/>
  <c r="W123" i="31"/>
  <c r="S18" i="29"/>
  <c r="Y17" i="29"/>
  <c r="V120" i="31"/>
  <c r="Y119" i="31"/>
  <c r="W124" i="31"/>
  <c r="Y18" i="29"/>
  <c r="S19" i="29"/>
  <c r="V121" i="31"/>
  <c r="Y120" i="31"/>
  <c r="W125" i="31"/>
  <c r="Y19" i="29"/>
  <c r="S20" i="29"/>
  <c r="V122" i="31"/>
  <c r="Y121" i="31"/>
  <c r="W126" i="31"/>
  <c r="S21" i="29"/>
  <c r="Y20" i="29"/>
  <c r="V123" i="31"/>
  <c r="Y122" i="31"/>
  <c r="W127" i="31"/>
  <c r="S22" i="29"/>
  <c r="Y21" i="29"/>
  <c r="V124" i="31"/>
  <c r="Y123" i="31"/>
  <c r="W128" i="31"/>
  <c r="Y22" i="29"/>
  <c r="S23" i="29"/>
  <c r="V125" i="31"/>
  <c r="Y124" i="31"/>
  <c r="Y23" i="29"/>
  <c r="S24" i="29"/>
  <c r="V126" i="31"/>
  <c r="Y125" i="31"/>
  <c r="S25" i="29"/>
  <c r="Y24" i="29"/>
  <c r="V127" i="31"/>
  <c r="Y126" i="31"/>
  <c r="S26" i="29"/>
  <c r="Y25" i="29"/>
  <c r="V128" i="31"/>
  <c r="Y128" i="31"/>
  <c r="Y127" i="31"/>
  <c r="Y26" i="29"/>
  <c r="S27" i="29"/>
  <c r="S28" i="29"/>
  <c r="Y27" i="29"/>
  <c r="S29" i="29"/>
  <c r="Y28" i="29"/>
  <c r="S30" i="29"/>
  <c r="Y29" i="29"/>
  <c r="Y30" i="29"/>
  <c r="S31" i="29"/>
  <c r="Y31" i="29"/>
  <c r="S32" i="29"/>
  <c r="S33" i="29"/>
  <c r="Y32" i="29"/>
  <c r="S34" i="29"/>
  <c r="Y33" i="29"/>
  <c r="S35" i="29"/>
  <c r="Y34" i="29"/>
  <c r="Y35" i="29"/>
  <c r="S36" i="29"/>
  <c r="Y36" i="29"/>
  <c r="S37" i="29"/>
  <c r="S38" i="29"/>
  <c r="Y37" i="29"/>
  <c r="S39" i="29"/>
  <c r="Y38" i="29"/>
  <c r="S40" i="29"/>
  <c r="Y39" i="29"/>
  <c r="S41" i="29"/>
  <c r="Y40" i="29"/>
  <c r="S42" i="29"/>
  <c r="Y41" i="29"/>
  <c r="S43" i="29"/>
  <c r="Y42" i="29"/>
  <c r="Y43" i="29"/>
  <c r="S44" i="29"/>
  <c r="Y44" i="29"/>
  <c r="S45" i="29"/>
  <c r="S46" i="29"/>
  <c r="Y45" i="29"/>
  <c r="Y46" i="29"/>
  <c r="S47" i="29"/>
  <c r="S48" i="29"/>
  <c r="Y47" i="29"/>
  <c r="Y48" i="29"/>
  <c r="S49" i="29"/>
  <c r="Y49" i="29"/>
  <c r="S50" i="29"/>
  <c r="S51" i="29"/>
  <c r="Y50" i="29"/>
  <c r="S52" i="29"/>
  <c r="Y51" i="29"/>
  <c r="S53" i="29"/>
  <c r="Y52" i="29"/>
  <c r="S54" i="29"/>
  <c r="Y53" i="29"/>
  <c r="Y54" i="29"/>
  <c r="S55" i="29"/>
  <c r="S56" i="29"/>
  <c r="Y55" i="29"/>
  <c r="Y56" i="29"/>
  <c r="S57" i="29"/>
  <c r="Y57" i="29"/>
  <c r="S58" i="29"/>
  <c r="Y58" i="29"/>
  <c r="S59" i="29"/>
  <c r="Y59" i="29"/>
  <c r="S60" i="29"/>
  <c r="S61" i="29"/>
  <c r="Y60" i="29"/>
  <c r="S62" i="29"/>
  <c r="Y61" i="29"/>
  <c r="Y62" i="29"/>
  <c r="S63" i="29"/>
  <c r="S64" i="29"/>
  <c r="Y63" i="29"/>
  <c r="S65" i="29"/>
  <c r="Y64" i="29"/>
  <c r="S66" i="29"/>
  <c r="Y66" i="29"/>
  <c r="Y65" i="29"/>
  <c r="M27" i="39" l="1"/>
  <c r="D27" i="39" s="1"/>
  <c r="D26" i="39"/>
  <c r="C26" i="39" s="1"/>
  <c r="E15" i="39"/>
  <c r="M97" i="39"/>
  <c r="U7" i="39"/>
  <c r="U8" i="39" s="1"/>
  <c r="U9" i="39" s="1"/>
  <c r="U10" i="39" s="1"/>
  <c r="U11" i="39" s="1"/>
  <c r="U12" i="39" s="1"/>
  <c r="U13" i="39" s="1"/>
  <c r="U14" i="39" s="1"/>
  <c r="U15" i="39" s="1"/>
  <c r="U16" i="39" s="1"/>
  <c r="U17" i="39" s="1"/>
  <c r="U18" i="39" s="1"/>
  <c r="U19" i="39" s="1"/>
  <c r="U20" i="39" s="1"/>
  <c r="U21" i="39" s="1"/>
  <c r="U22" i="39" s="1"/>
  <c r="U23" i="39" s="1"/>
  <c r="U24" i="39" s="1"/>
  <c r="U25" i="39" s="1"/>
  <c r="U26" i="39" s="1"/>
  <c r="U27" i="39" s="1"/>
  <c r="U28" i="39" s="1"/>
  <c r="U29" i="39" s="1"/>
  <c r="U30" i="39" s="1"/>
  <c r="U31" i="39" s="1"/>
  <c r="U32" i="39" s="1"/>
  <c r="U33" i="39" s="1"/>
  <c r="U34" i="39" s="1"/>
  <c r="U35" i="39" s="1"/>
  <c r="U36" i="39" s="1"/>
  <c r="U37" i="39" s="1"/>
  <c r="U38" i="39" s="1"/>
  <c r="U39" i="39" s="1"/>
  <c r="U40" i="39" s="1"/>
  <c r="U41" i="39" s="1"/>
  <c r="U42" i="39" s="1"/>
  <c r="U43" i="39" s="1"/>
  <c r="U44" i="39" s="1"/>
  <c r="U45" i="39" s="1"/>
  <c r="U46" i="39" s="1"/>
  <c r="U47" i="39" s="1"/>
  <c r="U48" i="39" s="1"/>
  <c r="U49" i="39" s="1"/>
  <c r="U50" i="39" s="1"/>
  <c r="U51" i="39" s="1"/>
  <c r="U52" i="39" s="1"/>
  <c r="U53" i="39" s="1"/>
  <c r="U54" i="39" s="1"/>
  <c r="U55" i="39" s="1"/>
  <c r="U56" i="39" s="1"/>
  <c r="U57" i="39" s="1"/>
  <c r="U58" i="39" s="1"/>
  <c r="U59" i="39" s="1"/>
  <c r="U60" i="39" s="1"/>
  <c r="U61" i="39" s="1"/>
  <c r="U62" i="39" s="1"/>
  <c r="U63" i="39" s="1"/>
  <c r="U64" i="39" s="1"/>
  <c r="U65" i="39" s="1"/>
  <c r="U66" i="39" s="1"/>
  <c r="E56" i="39"/>
  <c r="E57" i="39" s="1"/>
  <c r="D75" i="39"/>
  <c r="H16" i="38"/>
  <c r="D77" i="38"/>
  <c r="H102" i="38"/>
  <c r="H104" i="38" s="1"/>
  <c r="I104" i="38" s="1"/>
  <c r="D74" i="38"/>
  <c r="D79" i="38" s="1"/>
  <c r="D81" i="38" s="1"/>
  <c r="D83" i="38" s="1"/>
  <c r="S7" i="38"/>
  <c r="S8" i="38" s="1"/>
  <c r="S9" i="38" s="1"/>
  <c r="S10" i="38" s="1"/>
  <c r="S11" i="38" s="1"/>
  <c r="S12" i="38" s="1"/>
  <c r="S13" i="38" s="1"/>
  <c r="S14" i="38" s="1"/>
  <c r="S15" i="38" s="1"/>
  <c r="S16" i="38" s="1"/>
  <c r="S17" i="38" s="1"/>
  <c r="S18" i="38" s="1"/>
  <c r="S19" i="38" s="1"/>
  <c r="S20" i="38" s="1"/>
  <c r="S21" i="38" s="1"/>
  <c r="S22" i="38" s="1"/>
  <c r="S23" i="38" s="1"/>
  <c r="S24" i="38" s="1"/>
  <c r="S25" i="38" s="1"/>
  <c r="S26" i="38" s="1"/>
  <c r="S27" i="38" s="1"/>
  <c r="S28" i="38" s="1"/>
  <c r="S29" i="38" s="1"/>
  <c r="S30" i="38" s="1"/>
  <c r="S31" i="38" s="1"/>
  <c r="S32" i="38" s="1"/>
  <c r="S33" i="38" s="1"/>
  <c r="S34" i="38" s="1"/>
  <c r="S35" i="38" s="1"/>
  <c r="S36" i="38" s="1"/>
  <c r="S37" i="38" s="1"/>
  <c r="S38" i="38" s="1"/>
  <c r="S39" i="38" s="1"/>
  <c r="S40" i="38" s="1"/>
  <c r="S41" i="38" s="1"/>
  <c r="S42" i="38" s="1"/>
  <c r="S43" i="38" s="1"/>
  <c r="S44" i="38" s="1"/>
  <c r="S45" i="38" s="1"/>
  <c r="S46" i="38" s="1"/>
  <c r="S47" i="38" s="1"/>
  <c r="S48" i="38" s="1"/>
  <c r="S49" i="38" s="1"/>
  <c r="S50" i="38" s="1"/>
  <c r="S51" i="38" s="1"/>
  <c r="S52" i="38" s="1"/>
  <c r="S53" i="38" s="1"/>
  <c r="S54" i="38" s="1"/>
  <c r="S55" i="38" s="1"/>
  <c r="S56" i="38" s="1"/>
  <c r="S57" i="38" s="1"/>
  <c r="S58" i="38" s="1"/>
  <c r="S59" i="38" s="1"/>
  <c r="S60" i="38" s="1"/>
  <c r="S61" i="38" s="1"/>
  <c r="S62" i="38" s="1"/>
  <c r="S63" i="38" s="1"/>
  <c r="S64" i="38" s="1"/>
  <c r="S65" i="38" s="1"/>
  <c r="S66" i="38" s="1"/>
  <c r="D75" i="38"/>
  <c r="R7" i="38"/>
  <c r="R7" i="39"/>
  <c r="E18" i="39"/>
  <c r="C27" i="39"/>
  <c r="R8" i="39"/>
  <c r="Q9" i="39"/>
  <c r="I5" i="39"/>
  <c r="I72" i="39"/>
  <c r="I32" i="39"/>
  <c r="C23" i="39"/>
  <c r="E14" i="39"/>
  <c r="D77" i="39"/>
  <c r="H104" i="39"/>
  <c r="I104" i="39" s="1"/>
  <c r="E16" i="39"/>
  <c r="C14" i="39"/>
  <c r="H14" i="39" s="1"/>
  <c r="I16" i="39"/>
  <c r="M40" i="39"/>
  <c r="D121" i="39" s="1"/>
  <c r="D123" i="39" s="1"/>
  <c r="C22" i="39"/>
  <c r="I57" i="39"/>
  <c r="W7" i="39" s="1"/>
  <c r="I82" i="39"/>
  <c r="I84" i="39" s="1"/>
  <c r="D98" i="39"/>
  <c r="D105" i="39" s="1"/>
  <c r="V7" i="39"/>
  <c r="Q10" i="12"/>
  <c r="R10" i="12" s="1"/>
  <c r="E8" i="39"/>
  <c r="C17" i="39"/>
  <c r="H17" i="39" s="1"/>
  <c r="Q8" i="37"/>
  <c r="R8" i="37" s="1"/>
  <c r="R7" i="12"/>
  <c r="P8" i="9"/>
  <c r="Q8" i="9" s="1"/>
  <c r="U8" i="38"/>
  <c r="R8" i="12"/>
  <c r="Q8" i="18"/>
  <c r="R8" i="18" s="1"/>
  <c r="Q9" i="17"/>
  <c r="Q10" i="17" s="1"/>
  <c r="E56" i="38"/>
  <c r="Q8" i="31"/>
  <c r="Q8" i="34"/>
  <c r="R8" i="34" s="1"/>
  <c r="R7" i="33"/>
  <c r="R8" i="19"/>
  <c r="Q9" i="19"/>
  <c r="Q10" i="19" s="1"/>
  <c r="Q11" i="19" s="1"/>
  <c r="P8" i="11"/>
  <c r="Q8" i="11" s="1"/>
  <c r="R7" i="19"/>
  <c r="Q8" i="35"/>
  <c r="Q9" i="35" s="1"/>
  <c r="R9" i="35" s="1"/>
  <c r="Q8" i="29"/>
  <c r="R7" i="30"/>
  <c r="Q8" i="36"/>
  <c r="R8" i="36" s="1"/>
  <c r="R7" i="17"/>
  <c r="Q9" i="30"/>
  <c r="R8" i="30"/>
  <c r="Q9" i="1"/>
  <c r="R8" i="1"/>
  <c r="R8" i="10"/>
  <c r="Q8" i="32"/>
  <c r="R7" i="32"/>
  <c r="R7" i="15"/>
  <c r="Q8" i="15"/>
  <c r="R7" i="10"/>
  <c r="R7" i="13"/>
  <c r="R9" i="38"/>
  <c r="Q10" i="38"/>
  <c r="Q10" i="10"/>
  <c r="R9" i="10"/>
  <c r="R8" i="13"/>
  <c r="Q9" i="13"/>
  <c r="R7" i="1"/>
  <c r="R8" i="33"/>
  <c r="Q9" i="33"/>
  <c r="R8" i="38"/>
  <c r="Q8" i="20"/>
  <c r="E19" i="39" l="1"/>
  <c r="E17" i="39"/>
  <c r="D65" i="39"/>
  <c r="D68" i="39" s="1"/>
  <c r="Q11" i="12"/>
  <c r="R11" i="12" s="1"/>
  <c r="Y7" i="38"/>
  <c r="Q9" i="18"/>
  <c r="Q10" i="18" s="1"/>
  <c r="R10" i="18" s="1"/>
  <c r="I74" i="39"/>
  <c r="I89" i="39"/>
  <c r="I88" i="39"/>
  <c r="D106" i="39"/>
  <c r="D107" i="39" s="1"/>
  <c r="D113" i="39"/>
  <c r="D116" i="39" s="1"/>
  <c r="D117" i="39" s="1"/>
  <c r="D118" i="39" s="1"/>
  <c r="D67" i="39"/>
  <c r="Q9" i="37"/>
  <c r="R9" i="37" s="1"/>
  <c r="Y7" i="39"/>
  <c r="W8" i="39"/>
  <c r="R9" i="39"/>
  <c r="Q10" i="39"/>
  <c r="D128" i="39"/>
  <c r="D135" i="39" s="1"/>
  <c r="D136" i="39" s="1"/>
  <c r="D137" i="39" s="1"/>
  <c r="D124" i="39"/>
  <c r="I65" i="39"/>
  <c r="I67" i="39" s="1"/>
  <c r="I69" i="39" s="1"/>
  <c r="P9" i="9"/>
  <c r="P10" i="9" s="1"/>
  <c r="Q10" i="9" s="1"/>
  <c r="C19" i="39" a="1"/>
  <c r="C19" i="39" s="1"/>
  <c r="D19" i="39" s="1"/>
  <c r="H24" i="39"/>
  <c r="P9" i="11"/>
  <c r="Q9" i="11" s="1"/>
  <c r="R9" i="17"/>
  <c r="Q9" i="36"/>
  <c r="R9" i="36" s="1"/>
  <c r="Y8" i="38"/>
  <c r="U9" i="38"/>
  <c r="R10" i="19"/>
  <c r="R8" i="31"/>
  <c r="Q9" i="31"/>
  <c r="D67" i="38"/>
  <c r="E57" i="38"/>
  <c r="D65" i="38" s="1"/>
  <c r="D68" i="38" s="1"/>
  <c r="R10" i="17"/>
  <c r="Q11" i="17"/>
  <c r="R9" i="19"/>
  <c r="Q9" i="34"/>
  <c r="R9" i="34" s="1"/>
  <c r="Q10" i="35"/>
  <c r="Q11" i="35" s="1"/>
  <c r="R8" i="29"/>
  <c r="Q9" i="29"/>
  <c r="R8" i="35"/>
  <c r="Q9" i="15"/>
  <c r="R8" i="15"/>
  <c r="R9" i="13"/>
  <c r="Q10" i="13"/>
  <c r="Q9" i="32"/>
  <c r="R8" i="32"/>
  <c r="R8" i="20"/>
  <c r="Q9" i="20"/>
  <c r="Q11" i="10"/>
  <c r="R10" i="10"/>
  <c r="Q11" i="38"/>
  <c r="R10" i="38"/>
  <c r="Q12" i="19"/>
  <c r="R11" i="19"/>
  <c r="R9" i="33"/>
  <c r="Q10" i="33"/>
  <c r="R9" i="1"/>
  <c r="Q10" i="1"/>
  <c r="Q10" i="30"/>
  <c r="R9" i="30"/>
  <c r="R9" i="18" l="1"/>
  <c r="Q11" i="18"/>
  <c r="R11" i="18" s="1"/>
  <c r="Q12" i="12"/>
  <c r="P10" i="11"/>
  <c r="Q10" i="11" s="1"/>
  <c r="R10" i="35"/>
  <c r="Q10" i="36"/>
  <c r="R10" i="36" s="1"/>
  <c r="Q10" i="37"/>
  <c r="Q11" i="37" s="1"/>
  <c r="Q12" i="37" s="1"/>
  <c r="D125" i="39"/>
  <c r="G97" i="39"/>
  <c r="Q11" i="39"/>
  <c r="R10" i="39"/>
  <c r="W9" i="39"/>
  <c r="Q9" i="9"/>
  <c r="V8" i="39"/>
  <c r="V9" i="39" s="1"/>
  <c r="V10" i="39" s="1"/>
  <c r="V11" i="39" s="1"/>
  <c r="V12" i="39" s="1"/>
  <c r="V13" i="39" s="1"/>
  <c r="V14" i="39" s="1"/>
  <c r="V15" i="39" s="1"/>
  <c r="V16" i="39" s="1"/>
  <c r="V17" i="39" s="1"/>
  <c r="V18" i="39" s="1"/>
  <c r="V19" i="39" s="1"/>
  <c r="V20" i="39" s="1"/>
  <c r="V21" i="39" s="1"/>
  <c r="V22" i="39" s="1"/>
  <c r="V23" i="39" s="1"/>
  <c r="V24" i="39" s="1"/>
  <c r="V25" i="39" s="1"/>
  <c r="V26" i="39" s="1"/>
  <c r="V27" i="39" s="1"/>
  <c r="V28" i="39" s="1"/>
  <c r="V29" i="39" s="1"/>
  <c r="V30" i="39" s="1"/>
  <c r="V31" i="39" s="1"/>
  <c r="V32" i="39" s="1"/>
  <c r="V33" i="39" s="1"/>
  <c r="V34" i="39" s="1"/>
  <c r="V35" i="39" s="1"/>
  <c r="V36" i="39" s="1"/>
  <c r="V37" i="39" s="1"/>
  <c r="V38" i="39" s="1"/>
  <c r="V39" i="39" s="1"/>
  <c r="V40" i="39" s="1"/>
  <c r="V41" i="39" s="1"/>
  <c r="V42" i="39" s="1"/>
  <c r="V43" i="39" s="1"/>
  <c r="V44" i="39" s="1"/>
  <c r="V45" i="39" s="1"/>
  <c r="V46" i="39" s="1"/>
  <c r="V47" i="39" s="1"/>
  <c r="V48" i="39" s="1"/>
  <c r="V49" i="39" s="1"/>
  <c r="V50" i="39" s="1"/>
  <c r="V51" i="39" s="1"/>
  <c r="V52" i="39" s="1"/>
  <c r="V53" i="39" s="1"/>
  <c r="V54" i="39" s="1"/>
  <c r="V55" i="39" s="1"/>
  <c r="V56" i="39" s="1"/>
  <c r="V57" i="39" s="1"/>
  <c r="V58" i="39" s="1"/>
  <c r="V59" i="39" s="1"/>
  <c r="V60" i="39" s="1"/>
  <c r="V61" i="39" s="1"/>
  <c r="V62" i="39" s="1"/>
  <c r="V63" i="39" s="1"/>
  <c r="V64" i="39" s="1"/>
  <c r="V65" i="39" s="1"/>
  <c r="V66" i="39" s="1"/>
  <c r="P11" i="9"/>
  <c r="Q11" i="9" s="1"/>
  <c r="D90" i="39"/>
  <c r="D87" i="39" s="1"/>
  <c r="I90" i="39"/>
  <c r="I76" i="39"/>
  <c r="I75" i="39"/>
  <c r="Y9" i="38"/>
  <c r="U10" i="38"/>
  <c r="Q10" i="34"/>
  <c r="Q11" i="34" s="1"/>
  <c r="Q12" i="17"/>
  <c r="R11" i="17"/>
  <c r="R9" i="31"/>
  <c r="Q10" i="31"/>
  <c r="Q10" i="29"/>
  <c r="R9" i="29"/>
  <c r="R11" i="35"/>
  <c r="Q12" i="35"/>
  <c r="R10" i="1"/>
  <c r="Q11" i="1"/>
  <c r="Q12" i="10"/>
  <c r="R11" i="10"/>
  <c r="R9" i="20"/>
  <c r="Q10" i="20"/>
  <c r="R9" i="32"/>
  <c r="Q10" i="32"/>
  <c r="Q11" i="13"/>
  <c r="R10" i="13"/>
  <c r="R10" i="33"/>
  <c r="Q11" i="33"/>
  <c r="Q13" i="12"/>
  <c r="R12" i="12"/>
  <c r="R12" i="19"/>
  <c r="Q13" i="19"/>
  <c r="Q11" i="30"/>
  <c r="R10" i="30"/>
  <c r="Q12" i="38"/>
  <c r="R11" i="38"/>
  <c r="Q10" i="15"/>
  <c r="R9" i="15"/>
  <c r="Q12" i="18" l="1"/>
  <c r="R12" i="18" s="1"/>
  <c r="P11" i="11"/>
  <c r="P12" i="11" s="1"/>
  <c r="R11" i="37"/>
  <c r="R10" i="37"/>
  <c r="Q11" i="36"/>
  <c r="R11" i="36" s="1"/>
  <c r="R10" i="34"/>
  <c r="W10" i="39"/>
  <c r="Y9" i="39"/>
  <c r="R11" i="39"/>
  <c r="Q12" i="39"/>
  <c r="Y8" i="39"/>
  <c r="P12" i="9"/>
  <c r="Y10" i="38"/>
  <c r="U11" i="38"/>
  <c r="R10" i="31"/>
  <c r="Q11" i="31"/>
  <c r="R12" i="17"/>
  <c r="Q13" i="17"/>
  <c r="Q12" i="34"/>
  <c r="R11" i="34"/>
  <c r="R10" i="29"/>
  <c r="Q11" i="29"/>
  <c r="Q11" i="20"/>
  <c r="R10" i="20"/>
  <c r="R11" i="33"/>
  <c r="Q12" i="33"/>
  <c r="Q11" i="32"/>
  <c r="R10" i="32"/>
  <c r="R10" i="15"/>
  <c r="Q11" i="15"/>
  <c r="Q13" i="38"/>
  <c r="R12" i="38"/>
  <c r="Q12" i="30"/>
  <c r="R11" i="30"/>
  <c r="R11" i="13"/>
  <c r="Q12" i="13"/>
  <c r="Q13" i="10"/>
  <c r="R12" i="10"/>
  <c r="Q12" i="1"/>
  <c r="R11" i="1"/>
  <c r="Q11" i="11"/>
  <c r="Q14" i="19"/>
  <c r="R13" i="19"/>
  <c r="Q13" i="35"/>
  <c r="R12" i="35"/>
  <c r="R13" i="12"/>
  <c r="Q14" i="12"/>
  <c r="R12" i="37"/>
  <c r="Q13" i="37"/>
  <c r="Q13" i="18" l="1"/>
  <c r="Q14" i="18" s="1"/>
  <c r="Q12" i="36"/>
  <c r="R12" i="36" s="1"/>
  <c r="Q12" i="9"/>
  <c r="P13" i="9"/>
  <c r="Q13" i="39"/>
  <c r="R12" i="39"/>
  <c r="W11" i="39"/>
  <c r="Y10" i="39"/>
  <c r="U12" i="38"/>
  <c r="Y11" i="38"/>
  <c r="Q14" i="17"/>
  <c r="R13" i="17"/>
  <c r="Q12" i="31"/>
  <c r="R11" i="31"/>
  <c r="R11" i="29"/>
  <c r="Q12" i="29"/>
  <c r="R12" i="34"/>
  <c r="Q13" i="34"/>
  <c r="R14" i="18"/>
  <c r="Q15" i="18"/>
  <c r="R13" i="37"/>
  <c r="Q14" i="37"/>
  <c r="Q14" i="10"/>
  <c r="R13" i="10"/>
  <c r="Q12" i="32"/>
  <c r="R11" i="32"/>
  <c r="R12" i="1"/>
  <c r="Q13" i="1"/>
  <c r="P13" i="11"/>
  <c r="Q12" i="11"/>
  <c r="Q13" i="13"/>
  <c r="R12" i="13"/>
  <c r="Q15" i="12"/>
  <c r="R14" i="12"/>
  <c r="Q13" i="33"/>
  <c r="R12" i="33"/>
  <c r="Q12" i="15"/>
  <c r="R11" i="15"/>
  <c r="R12" i="30"/>
  <c r="Q13" i="30"/>
  <c r="R14" i="19"/>
  <c r="Q15" i="19"/>
  <c r="R13" i="38"/>
  <c r="Q14" i="38"/>
  <c r="R13" i="35"/>
  <c r="Q14" i="35"/>
  <c r="Q12" i="20"/>
  <c r="R11" i="20"/>
  <c r="R13" i="18" l="1"/>
  <c r="Q13" i="36"/>
  <c r="W12" i="39"/>
  <c r="Y11" i="39"/>
  <c r="R13" i="39"/>
  <c r="Q14" i="39"/>
  <c r="P14" i="9"/>
  <c r="Q13" i="9"/>
  <c r="U13" i="38"/>
  <c r="Y12" i="38"/>
  <c r="Q13" i="31"/>
  <c r="R12" i="31"/>
  <c r="R14" i="17"/>
  <c r="Q15" i="17"/>
  <c r="R13" i="34"/>
  <c r="Q14" i="34"/>
  <c r="R12" i="29"/>
  <c r="Q13" i="29"/>
  <c r="Q14" i="1"/>
  <c r="R13" i="1"/>
  <c r="R12" i="15"/>
  <c r="Q13" i="15"/>
  <c r="Q13" i="32"/>
  <c r="R12" i="32"/>
  <c r="R13" i="33"/>
  <c r="Q14" i="33"/>
  <c r="R14" i="10"/>
  <c r="Q15" i="10"/>
  <c r="R14" i="37"/>
  <c r="Q15" i="37"/>
  <c r="Q16" i="12"/>
  <c r="R15" i="12"/>
  <c r="R13" i="30"/>
  <c r="Q14" i="30"/>
  <c r="R15" i="18"/>
  <c r="Q16" i="18"/>
  <c r="R12" i="20"/>
  <c r="Q13" i="20"/>
  <c r="R13" i="13"/>
  <c r="Q14" i="13"/>
  <c r="Q15" i="35"/>
  <c r="R14" i="35"/>
  <c r="P14" i="11"/>
  <c r="Q13" i="11"/>
  <c r="R14" i="38"/>
  <c r="Q15" i="38"/>
  <c r="R13" i="36"/>
  <c r="Q14" i="36"/>
  <c r="R15" i="19"/>
  <c r="Q16" i="19"/>
  <c r="P15" i="9" l="1"/>
  <c r="Q14" i="9"/>
  <c r="R14" i="39"/>
  <c r="Q15" i="39"/>
  <c r="W13" i="39"/>
  <c r="Y12" i="39"/>
  <c r="U14" i="38"/>
  <c r="Y13" i="38"/>
  <c r="R15" i="17"/>
  <c r="Q16" i="17"/>
  <c r="R13" i="31"/>
  <c r="Q14" i="31"/>
  <c r="Q14" i="29"/>
  <c r="R13" i="29"/>
  <c r="Q15" i="34"/>
  <c r="R14" i="34"/>
  <c r="R15" i="38"/>
  <c r="Q16" i="38"/>
  <c r="Q14" i="11"/>
  <c r="P15" i="11"/>
  <c r="Q17" i="12"/>
  <c r="R16" i="12"/>
  <c r="R15" i="37"/>
  <c r="Q16" i="37"/>
  <c r="Q15" i="30"/>
  <c r="R14" i="30"/>
  <c r="Q16" i="10"/>
  <c r="R15" i="10"/>
  <c r="R15" i="35"/>
  <c r="Q16" i="35"/>
  <c r="R14" i="13"/>
  <c r="Q15" i="13"/>
  <c r="R14" i="33"/>
  <c r="Q15" i="33"/>
  <c r="R16" i="19"/>
  <c r="Q17" i="19"/>
  <c r="Q14" i="20"/>
  <c r="R13" i="20"/>
  <c r="R13" i="32"/>
  <c r="Q14" i="32"/>
  <c r="R14" i="36"/>
  <c r="Q15" i="36"/>
  <c r="Q17" i="18"/>
  <c r="R16" i="18"/>
  <c r="Q14" i="15"/>
  <c r="R13" i="15"/>
  <c r="Q15" i="1"/>
  <c r="R14" i="1"/>
  <c r="W14" i="39" l="1"/>
  <c r="Y13" i="39"/>
  <c r="R15" i="39"/>
  <c r="Q16" i="39"/>
  <c r="P16" i="9"/>
  <c r="Q15" i="9"/>
  <c r="U15" i="38"/>
  <c r="Y14" i="38"/>
  <c r="R14" i="31"/>
  <c r="Q15" i="31"/>
  <c r="R16" i="17"/>
  <c r="Q17" i="17"/>
  <c r="Q16" i="34"/>
  <c r="R15" i="34"/>
  <c r="R14" i="29"/>
  <c r="Q15" i="29"/>
  <c r="R15" i="36"/>
  <c r="Q16" i="36"/>
  <c r="R14" i="32"/>
  <c r="Q15" i="32"/>
  <c r="R16" i="35"/>
  <c r="Q17" i="35"/>
  <c r="R14" i="20"/>
  <c r="Q15" i="20"/>
  <c r="Q17" i="10"/>
  <c r="R16" i="10"/>
  <c r="R17" i="19"/>
  <c r="Q18" i="19"/>
  <c r="R15" i="30"/>
  <c r="Q16" i="30"/>
  <c r="Q17" i="37"/>
  <c r="R16" i="37"/>
  <c r="R17" i="12"/>
  <c r="Q18" i="12"/>
  <c r="R15" i="13"/>
  <c r="Q16" i="13"/>
  <c r="Q15" i="11"/>
  <c r="P16" i="11"/>
  <c r="R15" i="1"/>
  <c r="Q16" i="1"/>
  <c r="Q15" i="15"/>
  <c r="R14" i="15"/>
  <c r="R15" i="33"/>
  <c r="Q16" i="33"/>
  <c r="Q17" i="38"/>
  <c r="R16" i="38"/>
  <c r="R17" i="18"/>
  <c r="Q18" i="18"/>
  <c r="Q16" i="9" l="1"/>
  <c r="P17" i="9"/>
  <c r="R16" i="39"/>
  <c r="Q17" i="39"/>
  <c r="Y14" i="39"/>
  <c r="W15" i="39"/>
  <c r="U16" i="38"/>
  <c r="Y15" i="38"/>
  <c r="Q18" i="17"/>
  <c r="R17" i="17"/>
  <c r="Q16" i="31"/>
  <c r="R15" i="31"/>
  <c r="R15" i="29"/>
  <c r="Q16" i="29"/>
  <c r="R16" i="34"/>
  <c r="Q17" i="34"/>
  <c r="P17" i="11"/>
  <c r="Q16" i="11"/>
  <c r="R17" i="10"/>
  <c r="Q18" i="10"/>
  <c r="R15" i="20"/>
  <c r="Q16" i="20"/>
  <c r="Q19" i="19"/>
  <c r="R18" i="19"/>
  <c r="R16" i="33"/>
  <c r="Q17" i="33"/>
  <c r="R17" i="35"/>
  <c r="Q18" i="35"/>
  <c r="Q18" i="38"/>
  <c r="R17" i="38"/>
  <c r="Q17" i="1"/>
  <c r="R16" i="1"/>
  <c r="Q18" i="37"/>
  <c r="R17" i="37"/>
  <c r="R16" i="30"/>
  <c r="Q17" i="30"/>
  <c r="R16" i="13"/>
  <c r="Q17" i="13"/>
  <c r="Q16" i="32"/>
  <c r="R15" i="32"/>
  <c r="Q16" i="15"/>
  <c r="R15" i="15"/>
  <c r="Q19" i="12"/>
  <c r="R18" i="12"/>
  <c r="R16" i="36"/>
  <c r="Q17" i="36"/>
  <c r="R18" i="18"/>
  <c r="Q19" i="18"/>
  <c r="Y15" i="39" l="1"/>
  <c r="W16" i="39"/>
  <c r="Q18" i="39"/>
  <c r="R17" i="39"/>
  <c r="Q17" i="9"/>
  <c r="P18" i="9"/>
  <c r="U17" i="38"/>
  <c r="Y16" i="38"/>
  <c r="Q17" i="31"/>
  <c r="R16" i="31"/>
  <c r="Q19" i="17"/>
  <c r="R18" i="17"/>
  <c r="R17" i="34"/>
  <c r="Q18" i="34"/>
  <c r="R16" i="29"/>
  <c r="Q17" i="29"/>
  <c r="R16" i="15"/>
  <c r="Q17" i="15"/>
  <c r="R18" i="38"/>
  <c r="Q19" i="38"/>
  <c r="Q19" i="35"/>
  <c r="R18" i="35"/>
  <c r="Q18" i="13"/>
  <c r="R17" i="13"/>
  <c r="Q18" i="33"/>
  <c r="R17" i="33"/>
  <c r="R16" i="32"/>
  <c r="Q17" i="32"/>
  <c r="Q20" i="19"/>
  <c r="R19" i="19"/>
  <c r="R17" i="30"/>
  <c r="Q18" i="30"/>
  <c r="R16" i="20"/>
  <c r="Q17" i="20"/>
  <c r="R18" i="37"/>
  <c r="Q19" i="37"/>
  <c r="Q18" i="36"/>
  <c r="R17" i="36"/>
  <c r="Q19" i="10"/>
  <c r="R18" i="10"/>
  <c r="Q18" i="1"/>
  <c r="R17" i="1"/>
  <c r="R19" i="18"/>
  <c r="Q20" i="18"/>
  <c r="R19" i="12"/>
  <c r="Q20" i="12"/>
  <c r="P18" i="11"/>
  <c r="Q17" i="11"/>
  <c r="Q18" i="9" l="1"/>
  <c r="P19" i="9"/>
  <c r="Q19" i="39"/>
  <c r="R18" i="39"/>
  <c r="Y16" i="39"/>
  <c r="W17" i="39"/>
  <c r="Y17" i="38"/>
  <c r="U18" i="38"/>
  <c r="Q20" i="17"/>
  <c r="R19" i="17"/>
  <c r="Q18" i="31"/>
  <c r="R17" i="31"/>
  <c r="Q18" i="29"/>
  <c r="R17" i="29"/>
  <c r="Q19" i="34"/>
  <c r="R18" i="34"/>
  <c r="Q19" i="33"/>
  <c r="R18" i="33"/>
  <c r="R17" i="32"/>
  <c r="Q18" i="32"/>
  <c r="Q20" i="10"/>
  <c r="R19" i="10"/>
  <c r="Q19" i="36"/>
  <c r="R18" i="36"/>
  <c r="P19" i="11"/>
  <c r="Q18" i="11"/>
  <c r="Q21" i="12"/>
  <c r="R20" i="12"/>
  <c r="Q19" i="13"/>
  <c r="R18" i="13"/>
  <c r="R19" i="37"/>
  <c r="Q20" i="37"/>
  <c r="R19" i="35"/>
  <c r="Q20" i="35"/>
  <c r="R17" i="20"/>
  <c r="Q18" i="20"/>
  <c r="R19" i="38"/>
  <c r="Q20" i="38"/>
  <c r="R20" i="18"/>
  <c r="Q21" i="18"/>
  <c r="R20" i="19"/>
  <c r="Q21" i="19"/>
  <c r="Q19" i="30"/>
  <c r="R18" i="30"/>
  <c r="Q18" i="15"/>
  <c r="R17" i="15"/>
  <c r="Q19" i="1"/>
  <c r="R18" i="1"/>
  <c r="Y17" i="39" l="1"/>
  <c r="W18" i="39"/>
  <c r="R19" i="39"/>
  <c r="Q20" i="39"/>
  <c r="Q19" i="9"/>
  <c r="P20" i="9"/>
  <c r="Y18" i="38"/>
  <c r="U19" i="38"/>
  <c r="R18" i="31"/>
  <c r="Q19" i="31"/>
  <c r="Q21" i="17"/>
  <c r="R20" i="17"/>
  <c r="Q20" i="34"/>
  <c r="R19" i="34"/>
  <c r="Q19" i="29"/>
  <c r="R18" i="29"/>
  <c r="Q22" i="12"/>
  <c r="R21" i="12"/>
  <c r="Q21" i="38"/>
  <c r="R20" i="38"/>
  <c r="Q19" i="11"/>
  <c r="P20" i="11"/>
  <c r="R18" i="20"/>
  <c r="Q19" i="20"/>
  <c r="Q20" i="36"/>
  <c r="R19" i="36"/>
  <c r="Q21" i="35"/>
  <c r="R20" i="35"/>
  <c r="Q19" i="15"/>
  <c r="R18" i="15"/>
  <c r="Q21" i="10"/>
  <c r="R20" i="10"/>
  <c r="Q19" i="32"/>
  <c r="R18" i="32"/>
  <c r="R19" i="1"/>
  <c r="Q20" i="1"/>
  <c r="Q22" i="18"/>
  <c r="R21" i="18"/>
  <c r="R19" i="30"/>
  <c r="Q20" i="30"/>
  <c r="Q21" i="37"/>
  <c r="R20" i="37"/>
  <c r="Q22" i="19"/>
  <c r="R21" i="19"/>
  <c r="R19" i="13"/>
  <c r="Q20" i="13"/>
  <c r="R19" i="33"/>
  <c r="Q20" i="33"/>
  <c r="Q20" i="9" l="1"/>
  <c r="P21" i="9"/>
  <c r="Q21" i="39"/>
  <c r="R20" i="39"/>
  <c r="Y18" i="39"/>
  <c r="W19" i="39"/>
  <c r="Y19" i="38"/>
  <c r="U20" i="38"/>
  <c r="Q22" i="17"/>
  <c r="R21" i="17"/>
  <c r="Q20" i="31"/>
  <c r="R19" i="31"/>
  <c r="R19" i="29"/>
  <c r="Q20" i="29"/>
  <c r="Q21" i="34"/>
  <c r="R20" i="34"/>
  <c r="R19" i="15"/>
  <c r="Q20" i="15"/>
  <c r="Q20" i="20"/>
  <c r="R19" i="20"/>
  <c r="Q20" i="11"/>
  <c r="P21" i="11"/>
  <c r="Q22" i="35"/>
  <c r="R21" i="35"/>
  <c r="Q21" i="36"/>
  <c r="R20" i="36"/>
  <c r="R20" i="33"/>
  <c r="Q21" i="33"/>
  <c r="R22" i="19"/>
  <c r="Q23" i="19"/>
  <c r="R21" i="38"/>
  <c r="Q22" i="38"/>
  <c r="Q21" i="30"/>
  <c r="R20" i="30"/>
  <c r="Q21" i="13"/>
  <c r="R20" i="13"/>
  <c r="Q21" i="1"/>
  <c r="R20" i="1"/>
  <c r="Q20" i="32"/>
  <c r="R19" i="32"/>
  <c r="R22" i="12"/>
  <c r="Q23" i="12"/>
  <c r="R22" i="18"/>
  <c r="Q23" i="18"/>
  <c r="R21" i="37"/>
  <c r="Q22" i="37"/>
  <c r="Q22" i="10"/>
  <c r="R21" i="10"/>
  <c r="W20" i="39" l="1"/>
  <c r="Y19" i="39"/>
  <c r="R21" i="39"/>
  <c r="Q22" i="39"/>
  <c r="Q21" i="9"/>
  <c r="P22" i="9"/>
  <c r="Y20" i="38"/>
  <c r="U21" i="38"/>
  <c r="Q21" i="31"/>
  <c r="R20" i="31"/>
  <c r="R22" i="17"/>
  <c r="Q23" i="17"/>
  <c r="R21" i="34"/>
  <c r="Q22" i="34"/>
  <c r="R20" i="29"/>
  <c r="Q21" i="29"/>
  <c r="Q22" i="33"/>
  <c r="R21" i="33"/>
  <c r="Q21" i="32"/>
  <c r="R20" i="32"/>
  <c r="R22" i="35"/>
  <c r="Q23" i="35"/>
  <c r="R20" i="20"/>
  <c r="Q21" i="20"/>
  <c r="Q24" i="18"/>
  <c r="R23" i="18"/>
  <c r="R23" i="19"/>
  <c r="Q24" i="19"/>
  <c r="R20" i="15"/>
  <c r="Q21" i="15"/>
  <c r="P22" i="11"/>
  <c r="Q21" i="11"/>
  <c r="Q22" i="13"/>
  <c r="R21" i="13"/>
  <c r="R21" i="1"/>
  <c r="Q22" i="1"/>
  <c r="R21" i="36"/>
  <c r="Q22" i="36"/>
  <c r="Q24" i="12"/>
  <c r="R23" i="12"/>
  <c r="R22" i="10"/>
  <c r="Q23" i="10"/>
  <c r="Q22" i="30"/>
  <c r="R21" i="30"/>
  <c r="Q23" i="37"/>
  <c r="R22" i="37"/>
  <c r="Q23" i="38"/>
  <c r="R22" i="38"/>
  <c r="P23" i="9" l="1"/>
  <c r="Q22" i="9"/>
  <c r="R22" i="39"/>
  <c r="Q23" i="39"/>
  <c r="Y20" i="39"/>
  <c r="W21" i="39"/>
  <c r="Y21" i="38"/>
  <c r="U22" i="38"/>
  <c r="Q24" i="17"/>
  <c r="R23" i="17"/>
  <c r="Q22" i="31"/>
  <c r="R21" i="31"/>
  <c r="Q22" i="29"/>
  <c r="R21" i="29"/>
  <c r="R22" i="34"/>
  <c r="Q23" i="34"/>
  <c r="R24" i="18"/>
  <c r="Q25" i="18"/>
  <c r="R23" i="10"/>
  <c r="Q24" i="10"/>
  <c r="R22" i="1"/>
  <c r="Q23" i="1"/>
  <c r="Q24" i="35"/>
  <c r="R23" i="35"/>
  <c r="Q22" i="20"/>
  <c r="R21" i="20"/>
  <c r="R23" i="37"/>
  <c r="Q24" i="37"/>
  <c r="R22" i="13"/>
  <c r="Q23" i="13"/>
  <c r="Q25" i="19"/>
  <c r="R24" i="19"/>
  <c r="Q22" i="11"/>
  <c r="P23" i="11"/>
  <c r="Q22" i="32"/>
  <c r="R21" i="32"/>
  <c r="R24" i="12"/>
  <c r="Q25" i="12"/>
  <c r="R22" i="36"/>
  <c r="Q23" i="36"/>
  <c r="R23" i="38"/>
  <c r="Q24" i="38"/>
  <c r="R21" i="15"/>
  <c r="Q22" i="15"/>
  <c r="Q23" i="30"/>
  <c r="R22" i="30"/>
  <c r="R22" i="33"/>
  <c r="Q23" i="33"/>
  <c r="W22" i="39" l="1"/>
  <c r="Y21" i="39"/>
  <c r="Q24" i="39"/>
  <c r="R23" i="39"/>
  <c r="Q23" i="9"/>
  <c r="P24" i="9"/>
  <c r="U23" i="38"/>
  <c r="Y22" i="38"/>
  <c r="Q23" i="31"/>
  <c r="R22" i="31"/>
  <c r="Q25" i="17"/>
  <c r="R24" i="17"/>
  <c r="Q24" i="34"/>
  <c r="R23" i="34"/>
  <c r="Q23" i="29"/>
  <c r="R22" i="29"/>
  <c r="Q24" i="36"/>
  <c r="R23" i="36"/>
  <c r="Q26" i="12"/>
  <c r="R25" i="12"/>
  <c r="Q25" i="35"/>
  <c r="R24" i="35"/>
  <c r="R23" i="1"/>
  <c r="Q24" i="1"/>
  <c r="Q23" i="20"/>
  <c r="R22" i="20"/>
  <c r="R24" i="10"/>
  <c r="Q25" i="10"/>
  <c r="R22" i="32"/>
  <c r="Q23" i="32"/>
  <c r="R23" i="33"/>
  <c r="Q24" i="33"/>
  <c r="Q24" i="30"/>
  <c r="R23" i="30"/>
  <c r="Q26" i="19"/>
  <c r="R25" i="19"/>
  <c r="R22" i="15"/>
  <c r="Q23" i="15"/>
  <c r="R23" i="13"/>
  <c r="Q24" i="13"/>
  <c r="P24" i="11"/>
  <c r="Q23" i="11"/>
  <c r="R24" i="38"/>
  <c r="Q25" i="38"/>
  <c r="R24" i="37"/>
  <c r="Q25" i="37"/>
  <c r="R25" i="18"/>
  <c r="Q26" i="18"/>
  <c r="Q24" i="9" l="1"/>
  <c r="P25" i="9"/>
  <c r="R24" i="39"/>
  <c r="Q25" i="39"/>
  <c r="Y22" i="39"/>
  <c r="W23" i="39"/>
  <c r="Y23" i="38"/>
  <c r="U24" i="38"/>
  <c r="R25" i="17"/>
  <c r="Q26" i="17"/>
  <c r="R23" i="31"/>
  <c r="Q24" i="31"/>
  <c r="R23" i="29"/>
  <c r="Q24" i="29"/>
  <c r="R24" i="34"/>
  <c r="Q25" i="34"/>
  <c r="Q26" i="10"/>
  <c r="R25" i="10"/>
  <c r="Q25" i="13"/>
  <c r="R24" i="13"/>
  <c r="Q24" i="15"/>
  <c r="R23" i="15"/>
  <c r="Q24" i="20"/>
  <c r="R23" i="20"/>
  <c r="Q25" i="1"/>
  <c r="R24" i="1"/>
  <c r="R25" i="35"/>
  <c r="Q26" i="35"/>
  <c r="Q25" i="30"/>
  <c r="R24" i="30"/>
  <c r="R24" i="33"/>
  <c r="Q25" i="33"/>
  <c r="Q26" i="38"/>
  <c r="R25" i="38"/>
  <c r="R26" i="12"/>
  <c r="Q27" i="12"/>
  <c r="R26" i="18"/>
  <c r="Q27" i="18"/>
  <c r="R26" i="19"/>
  <c r="Q27" i="19"/>
  <c r="Q24" i="32"/>
  <c r="R23" i="32"/>
  <c r="Q26" i="37"/>
  <c r="R25" i="37"/>
  <c r="P25" i="11"/>
  <c r="Q24" i="11"/>
  <c r="R24" i="36"/>
  <c r="Q25" i="36"/>
  <c r="Y23" i="39" l="1"/>
  <c r="W24" i="39"/>
  <c r="R25" i="39"/>
  <c r="Q26" i="39"/>
  <c r="P26" i="9"/>
  <c r="Q25" i="9"/>
  <c r="Y24" i="38"/>
  <c r="U25" i="38"/>
  <c r="Q25" i="31"/>
  <c r="R24" i="31"/>
  <c r="Q27" i="17"/>
  <c r="R26" i="17"/>
  <c r="R25" i="34"/>
  <c r="Q26" i="34"/>
  <c r="Q25" i="29"/>
  <c r="R24" i="29"/>
  <c r="Q26" i="1"/>
  <c r="R25" i="1"/>
  <c r="Q25" i="20"/>
  <c r="R24" i="20"/>
  <c r="Q25" i="15"/>
  <c r="R24" i="15"/>
  <c r="Q27" i="38"/>
  <c r="R26" i="38"/>
  <c r="R25" i="36"/>
  <c r="Q26" i="36"/>
  <c r="Q26" i="33"/>
  <c r="R25" i="33"/>
  <c r="Q28" i="12"/>
  <c r="R27" i="12"/>
  <c r="P26" i="11"/>
  <c r="Q25" i="11"/>
  <c r="Q26" i="30"/>
  <c r="R25" i="30"/>
  <c r="Q27" i="37"/>
  <c r="R26" i="37"/>
  <c r="R25" i="13"/>
  <c r="Q26" i="13"/>
  <c r="Q28" i="18"/>
  <c r="R27" i="18"/>
  <c r="R26" i="35"/>
  <c r="Q27" i="35"/>
  <c r="Q25" i="32"/>
  <c r="R24" i="32"/>
  <c r="Q28" i="19"/>
  <c r="R27" i="19"/>
  <c r="Q27" i="10"/>
  <c r="R26" i="10"/>
  <c r="Q26" i="9" l="1"/>
  <c r="P27" i="9"/>
  <c r="Q27" i="39"/>
  <c r="R26" i="39"/>
  <c r="W25" i="39"/>
  <c r="Y24" i="39"/>
  <c r="U26" i="38"/>
  <c r="Y25" i="38"/>
  <c r="R27" i="17"/>
  <c r="Q28" i="17"/>
  <c r="R25" i="31"/>
  <c r="Q26" i="31"/>
  <c r="R25" i="29"/>
  <c r="Q26" i="29"/>
  <c r="Q27" i="34"/>
  <c r="R26" i="34"/>
  <c r="R26" i="33"/>
  <c r="Q27" i="33"/>
  <c r="Q27" i="36"/>
  <c r="R26" i="36"/>
  <c r="R28" i="18"/>
  <c r="Q29" i="18"/>
  <c r="R27" i="38"/>
  <c r="Q28" i="38"/>
  <c r="Q28" i="10"/>
  <c r="R27" i="10"/>
  <c r="Q29" i="12"/>
  <c r="R28" i="12"/>
  <c r="R27" i="35"/>
  <c r="Q28" i="35"/>
  <c r="R26" i="13"/>
  <c r="Q27" i="13"/>
  <c r="Q29" i="19"/>
  <c r="R28" i="19"/>
  <c r="R27" i="37"/>
  <c r="Q28" i="37"/>
  <c r="Q26" i="15"/>
  <c r="R25" i="15"/>
  <c r="R26" i="30"/>
  <c r="Q27" i="30"/>
  <c r="R25" i="20"/>
  <c r="Q26" i="20"/>
  <c r="R25" i="32"/>
  <c r="Q26" i="32"/>
  <c r="Q26" i="11"/>
  <c r="P27" i="11"/>
  <c r="Q27" i="1"/>
  <c r="R26" i="1"/>
  <c r="Y25" i="39" l="1"/>
  <c r="W26" i="39"/>
  <c r="R27" i="39"/>
  <c r="Q28" i="39"/>
  <c r="Q27" i="9"/>
  <c r="P28" i="9"/>
  <c r="Y26" i="38"/>
  <c r="U27" i="38"/>
  <c r="R26" i="31"/>
  <c r="Q27" i="31"/>
  <c r="R28" i="17"/>
  <c r="Q29" i="17"/>
  <c r="R27" i="34"/>
  <c r="Q28" i="34"/>
  <c r="R26" i="29"/>
  <c r="Q27" i="29"/>
  <c r="Q28" i="30"/>
  <c r="R27" i="30"/>
  <c r="R28" i="10"/>
  <c r="Q29" i="10"/>
  <c r="R26" i="20"/>
  <c r="Q27" i="20"/>
  <c r="R28" i="38"/>
  <c r="Q29" i="38"/>
  <c r="Q30" i="12"/>
  <c r="R29" i="12"/>
  <c r="Q28" i="1"/>
  <c r="R27" i="1"/>
  <c r="R26" i="15"/>
  <c r="Q27" i="15"/>
  <c r="Q29" i="37"/>
  <c r="R28" i="37"/>
  <c r="Q30" i="18"/>
  <c r="R29" i="18"/>
  <c r="R29" i="19"/>
  <c r="Q30" i="19"/>
  <c r="R26" i="32"/>
  <c r="Q27" i="32"/>
  <c r="R27" i="13"/>
  <c r="Q28" i="13"/>
  <c r="P28" i="11"/>
  <c r="Q27" i="11"/>
  <c r="Q28" i="36"/>
  <c r="R27" i="36"/>
  <c r="Q29" i="35"/>
  <c r="R28" i="35"/>
  <c r="Q28" i="33"/>
  <c r="R27" i="33"/>
  <c r="Q28" i="9" l="1"/>
  <c r="P29" i="9"/>
  <c r="R28" i="39"/>
  <c r="Q29" i="39"/>
  <c r="Y26" i="39"/>
  <c r="W27" i="39"/>
  <c r="U28" i="38"/>
  <c r="Y27" i="38"/>
  <c r="R29" i="17"/>
  <c r="Q30" i="17"/>
  <c r="Q28" i="31"/>
  <c r="R27" i="31"/>
  <c r="Q28" i="29"/>
  <c r="R27" i="29"/>
  <c r="R28" i="34"/>
  <c r="Q29" i="34"/>
  <c r="R27" i="15"/>
  <c r="Q28" i="15"/>
  <c r="R30" i="12"/>
  <c r="Q31" i="12"/>
  <c r="Q29" i="13"/>
  <c r="R28" i="13"/>
  <c r="Q31" i="19"/>
  <c r="R30" i="19"/>
  <c r="R29" i="38"/>
  <c r="Q30" i="38"/>
  <c r="Q28" i="20"/>
  <c r="R27" i="20"/>
  <c r="R28" i="33"/>
  <c r="Q29" i="33"/>
  <c r="R30" i="18"/>
  <c r="Q31" i="18"/>
  <c r="Q28" i="32"/>
  <c r="R27" i="32"/>
  <c r="R28" i="1"/>
  <c r="Q29" i="1"/>
  <c r="R29" i="10"/>
  <c r="Q30" i="10"/>
  <c r="Q30" i="35"/>
  <c r="R29" i="35"/>
  <c r="R28" i="36"/>
  <c r="Q29" i="36"/>
  <c r="R29" i="37"/>
  <c r="Q30" i="37"/>
  <c r="Q28" i="11"/>
  <c r="P29" i="11"/>
  <c r="R28" i="30"/>
  <c r="Q29" i="30"/>
  <c r="W28" i="39" l="1"/>
  <c r="Y27" i="39"/>
  <c r="Q30" i="39"/>
  <c r="R29" i="39"/>
  <c r="Q29" i="9"/>
  <c r="P30" i="9"/>
  <c r="U29" i="38"/>
  <c r="Y28" i="38"/>
  <c r="R28" i="31"/>
  <c r="Q29" i="31"/>
  <c r="R30" i="17"/>
  <c r="Q31" i="17"/>
  <c r="Q30" i="34"/>
  <c r="R29" i="34"/>
  <c r="R28" i="29"/>
  <c r="Q29" i="29"/>
  <c r="R31" i="19"/>
  <c r="Q32" i="19"/>
  <c r="Q30" i="13"/>
  <c r="R29" i="13"/>
  <c r="Q29" i="20"/>
  <c r="R28" i="20"/>
  <c r="R29" i="1"/>
  <c r="Q30" i="1"/>
  <c r="Q32" i="12"/>
  <c r="R31" i="12"/>
  <c r="Q31" i="35"/>
  <c r="R30" i="35"/>
  <c r="R30" i="10"/>
  <c r="Q31" i="10"/>
  <c r="R29" i="30"/>
  <c r="Q30" i="30"/>
  <c r="R30" i="38"/>
  <c r="Q31" i="38"/>
  <c r="R28" i="32"/>
  <c r="Q29" i="32"/>
  <c r="Q29" i="11"/>
  <c r="P30" i="11"/>
  <c r="Q32" i="18"/>
  <c r="R31" i="18"/>
  <c r="R30" i="37"/>
  <c r="Q31" i="37"/>
  <c r="Q30" i="36"/>
  <c r="R29" i="36"/>
  <c r="R29" i="33"/>
  <c r="Q30" i="33"/>
  <c r="Q29" i="15"/>
  <c r="R28" i="15"/>
  <c r="Q30" i="9" l="1"/>
  <c r="P31" i="9"/>
  <c r="R30" i="39"/>
  <c r="Q31" i="39"/>
  <c r="Y28" i="39"/>
  <c r="W29" i="39"/>
  <c r="U30" i="38"/>
  <c r="Y29" i="38"/>
  <c r="R31" i="17"/>
  <c r="Q32" i="17"/>
  <c r="R29" i="31"/>
  <c r="Q30" i="31"/>
  <c r="Q30" i="29"/>
  <c r="R29" i="29"/>
  <c r="Q31" i="34"/>
  <c r="R30" i="34"/>
  <c r="R31" i="10"/>
  <c r="Q32" i="10"/>
  <c r="R31" i="35"/>
  <c r="Q32" i="35"/>
  <c r="R32" i="18"/>
  <c r="Q33" i="18"/>
  <c r="Q30" i="11"/>
  <c r="P31" i="11"/>
  <c r="R29" i="32"/>
  <c r="Q30" i="32"/>
  <c r="Q33" i="12"/>
  <c r="R32" i="12"/>
  <c r="Q31" i="1"/>
  <c r="R30" i="1"/>
  <c r="R29" i="15"/>
  <c r="Q30" i="15"/>
  <c r="Q31" i="33"/>
  <c r="R30" i="33"/>
  <c r="R31" i="38"/>
  <c r="Q32" i="38"/>
  <c r="R29" i="20"/>
  <c r="Q30" i="20"/>
  <c r="Q31" i="13"/>
  <c r="R30" i="13"/>
  <c r="Q32" i="37"/>
  <c r="R31" i="37"/>
  <c r="R30" i="30"/>
  <c r="Q31" i="30"/>
  <c r="R32" i="19"/>
  <c r="Q33" i="19"/>
  <c r="R30" i="36"/>
  <c r="Q31" i="36"/>
  <c r="Y29" i="39" l="1"/>
  <c r="W30" i="39"/>
  <c r="R31" i="39"/>
  <c r="Q32" i="39"/>
  <c r="Q31" i="9"/>
  <c r="P32" i="9"/>
  <c r="U31" i="38"/>
  <c r="Y30" i="38"/>
  <c r="Q31" i="31"/>
  <c r="R30" i="31"/>
  <c r="Q33" i="17"/>
  <c r="R32" i="17"/>
  <c r="R31" i="34"/>
  <c r="Q32" i="34"/>
  <c r="Q31" i="29"/>
  <c r="R30" i="29"/>
  <c r="Q32" i="1"/>
  <c r="R31" i="1"/>
  <c r="R33" i="12"/>
  <c r="Q34" i="12"/>
  <c r="Q32" i="30"/>
  <c r="R31" i="30"/>
  <c r="R30" i="15"/>
  <c r="Q31" i="15"/>
  <c r="R31" i="36"/>
  <c r="Q32" i="36"/>
  <c r="Q31" i="20"/>
  <c r="R30" i="20"/>
  <c r="Q31" i="32"/>
  <c r="R30" i="32"/>
  <c r="Q34" i="19"/>
  <c r="R33" i="19"/>
  <c r="Q31" i="11"/>
  <c r="P32" i="11"/>
  <c r="R33" i="18"/>
  <c r="Q34" i="18"/>
  <c r="Q33" i="38"/>
  <c r="R32" i="38"/>
  <c r="Q33" i="35"/>
  <c r="R32" i="35"/>
  <c r="R32" i="37"/>
  <c r="Q33" i="37"/>
  <c r="R31" i="33"/>
  <c r="Q32" i="33"/>
  <c r="Q33" i="10"/>
  <c r="R32" i="10"/>
  <c r="Q32" i="13"/>
  <c r="R31" i="13"/>
  <c r="P33" i="9" l="1"/>
  <c r="Q32" i="9"/>
  <c r="Q33" i="39"/>
  <c r="R32" i="39"/>
  <c r="W31" i="39"/>
  <c r="Y30" i="39"/>
  <c r="Y31" i="38"/>
  <c r="U32" i="38"/>
  <c r="R33" i="17"/>
  <c r="Q34" i="17"/>
  <c r="R31" i="31"/>
  <c r="Q32" i="31"/>
  <c r="R31" i="29"/>
  <c r="Q32" i="29"/>
  <c r="Q33" i="34"/>
  <c r="R32" i="34"/>
  <c r="Q34" i="38"/>
  <c r="R33" i="38"/>
  <c r="Q35" i="18"/>
  <c r="R34" i="18"/>
  <c r="Q32" i="15"/>
  <c r="R31" i="15"/>
  <c r="Q33" i="36"/>
  <c r="R32" i="36"/>
  <c r="R33" i="35"/>
  <c r="Q34" i="35"/>
  <c r="Q33" i="30"/>
  <c r="R32" i="30"/>
  <c r="Q35" i="12"/>
  <c r="R34" i="12"/>
  <c r="R33" i="10"/>
  <c r="Q34" i="10"/>
  <c r="Q35" i="19"/>
  <c r="R34" i="19"/>
  <c r="Q33" i="33"/>
  <c r="R32" i="33"/>
  <c r="R31" i="32"/>
  <c r="Q32" i="32"/>
  <c r="R32" i="1"/>
  <c r="Q33" i="1"/>
  <c r="P33" i="11"/>
  <c r="Q32" i="11"/>
  <c r="R32" i="13"/>
  <c r="Q33" i="13"/>
  <c r="Q34" i="37"/>
  <c r="R33" i="37"/>
  <c r="R31" i="20"/>
  <c r="Q32" i="20"/>
  <c r="Y31" i="39" l="1"/>
  <c r="W32" i="39"/>
  <c r="R33" i="39"/>
  <c r="Q34" i="39"/>
  <c r="P34" i="9"/>
  <c r="Q33" i="9"/>
  <c r="Y32" i="38"/>
  <c r="U33" i="38"/>
  <c r="R32" i="31"/>
  <c r="Q33" i="31"/>
  <c r="Q35" i="17"/>
  <c r="R34" i="17"/>
  <c r="R33" i="34"/>
  <c r="Q34" i="34"/>
  <c r="Q33" i="29"/>
  <c r="R32" i="29"/>
  <c r="R33" i="30"/>
  <c r="Q34" i="30"/>
  <c r="R33" i="36"/>
  <c r="Q34" i="36"/>
  <c r="R35" i="12"/>
  <c r="Q36" i="12"/>
  <c r="Q33" i="20"/>
  <c r="R32" i="20"/>
  <c r="Q36" i="19"/>
  <c r="R35" i="19"/>
  <c r="R32" i="15"/>
  <c r="Q33" i="15"/>
  <c r="Q34" i="33"/>
  <c r="R33" i="33"/>
  <c r="R34" i="37"/>
  <c r="Q35" i="37"/>
  <c r="R35" i="18"/>
  <c r="Q36" i="18"/>
  <c r="Q34" i="1"/>
  <c r="R33" i="1"/>
  <c r="Q33" i="32"/>
  <c r="R32" i="32"/>
  <c r="Q35" i="35"/>
  <c r="R34" i="35"/>
  <c r="R33" i="13"/>
  <c r="Q34" i="13"/>
  <c r="R34" i="38"/>
  <c r="Q35" i="38"/>
  <c r="Q35" i="10"/>
  <c r="R34" i="10"/>
  <c r="P34" i="11"/>
  <c r="Q33" i="11"/>
  <c r="P35" i="9" l="1"/>
  <c r="Q34" i="9"/>
  <c r="Q35" i="39"/>
  <c r="R34" i="39"/>
  <c r="W33" i="39"/>
  <c r="Y32" i="39"/>
  <c r="U34" i="38"/>
  <c r="Y33" i="38"/>
  <c r="Q36" i="17"/>
  <c r="R35" i="17"/>
  <c r="Q34" i="31"/>
  <c r="R33" i="31"/>
  <c r="R33" i="29"/>
  <c r="Q34" i="29"/>
  <c r="Q35" i="34"/>
  <c r="R34" i="34"/>
  <c r="Q35" i="13"/>
  <c r="R34" i="13"/>
  <c r="Q37" i="19"/>
  <c r="R36" i="19"/>
  <c r="Q34" i="15"/>
  <c r="R33" i="15"/>
  <c r="R36" i="18"/>
  <c r="Q37" i="18"/>
  <c r="R36" i="12"/>
  <c r="Q37" i="12"/>
  <c r="Q35" i="36"/>
  <c r="R34" i="36"/>
  <c r="Q34" i="20"/>
  <c r="R33" i="20"/>
  <c r="Q34" i="11"/>
  <c r="P35" i="11"/>
  <c r="R33" i="32"/>
  <c r="Q34" i="32"/>
  <c r="Q35" i="1"/>
  <c r="R34" i="1"/>
  <c r="Q36" i="10"/>
  <c r="R35" i="10"/>
  <c r="Q36" i="38"/>
  <c r="R35" i="38"/>
  <c r="Q36" i="37"/>
  <c r="R35" i="37"/>
  <c r="R35" i="35"/>
  <c r="Q36" i="35"/>
  <c r="Q35" i="30"/>
  <c r="R34" i="30"/>
  <c r="R34" i="33"/>
  <c r="Q35" i="33"/>
  <c r="Y33" i="39" l="1"/>
  <c r="W34" i="39"/>
  <c r="R35" i="39"/>
  <c r="Q36" i="39"/>
  <c r="P36" i="9"/>
  <c r="Q35" i="9"/>
  <c r="Y34" i="38"/>
  <c r="U35" i="38"/>
  <c r="R34" i="31"/>
  <c r="Q35" i="31"/>
  <c r="Q37" i="17"/>
  <c r="R36" i="17"/>
  <c r="R35" i="34"/>
  <c r="Q36" i="34"/>
  <c r="Q35" i="29"/>
  <c r="R34" i="29"/>
  <c r="R36" i="38"/>
  <c r="Q37" i="38"/>
  <c r="R37" i="12"/>
  <c r="Q38" i="12"/>
  <c r="Q38" i="18"/>
  <c r="R37" i="18"/>
  <c r="Q35" i="32"/>
  <c r="R34" i="32"/>
  <c r="Q35" i="15"/>
  <c r="R34" i="15"/>
  <c r="Q35" i="11"/>
  <c r="P36" i="11"/>
  <c r="R36" i="37"/>
  <c r="Q37" i="37"/>
  <c r="R35" i="36"/>
  <c r="Q36" i="36"/>
  <c r="Q37" i="10"/>
  <c r="R36" i="10"/>
  <c r="R35" i="1"/>
  <c r="Q36" i="1"/>
  <c r="Q37" i="35"/>
  <c r="R36" i="35"/>
  <c r="Q38" i="19"/>
  <c r="R37" i="19"/>
  <c r="Q36" i="33"/>
  <c r="R35" i="33"/>
  <c r="R35" i="30"/>
  <c r="Q36" i="30"/>
  <c r="R34" i="20"/>
  <c r="Q35" i="20"/>
  <c r="Q36" i="13"/>
  <c r="R35" i="13"/>
  <c r="Q36" i="9" l="1"/>
  <c r="P37" i="9"/>
  <c r="Q37" i="39"/>
  <c r="R36" i="39"/>
  <c r="W35" i="39"/>
  <c r="Y34" i="39"/>
  <c r="Y35" i="38"/>
  <c r="U36" i="38"/>
  <c r="Q38" i="17"/>
  <c r="R37" i="17"/>
  <c r="Q36" i="31"/>
  <c r="R35" i="31"/>
  <c r="R35" i="29"/>
  <c r="Q36" i="29"/>
  <c r="Q37" i="34"/>
  <c r="R36" i="34"/>
  <c r="Q36" i="15"/>
  <c r="R35" i="15"/>
  <c r="R35" i="32"/>
  <c r="Q36" i="32"/>
  <c r="R36" i="1"/>
  <c r="Q37" i="1"/>
  <c r="R38" i="18"/>
  <c r="Q39" i="18"/>
  <c r="R38" i="12"/>
  <c r="Q39" i="12"/>
  <c r="R38" i="19"/>
  <c r="Q39" i="19"/>
  <c r="Q37" i="36"/>
  <c r="R36" i="36"/>
  <c r="R36" i="30"/>
  <c r="Q37" i="30"/>
  <c r="Q38" i="37"/>
  <c r="R37" i="37"/>
  <c r="R36" i="13"/>
  <c r="Q37" i="13"/>
  <c r="R35" i="20"/>
  <c r="Q36" i="20"/>
  <c r="R37" i="10"/>
  <c r="Q38" i="10"/>
  <c r="Q36" i="11"/>
  <c r="P37" i="11"/>
  <c r="Q38" i="38"/>
  <c r="R37" i="38"/>
  <c r="R37" i="35"/>
  <c r="Q38" i="35"/>
  <c r="R36" i="33"/>
  <c r="Q37" i="33"/>
  <c r="Y35" i="39" l="1"/>
  <c r="W36" i="39"/>
  <c r="R37" i="39"/>
  <c r="Q38" i="39"/>
  <c r="P38" i="9"/>
  <c r="Q37" i="9"/>
  <c r="Y36" i="38"/>
  <c r="U37" i="38"/>
  <c r="Q37" i="31"/>
  <c r="R36" i="31"/>
  <c r="R38" i="17"/>
  <c r="Q39" i="17"/>
  <c r="R37" i="34"/>
  <c r="Q38" i="34"/>
  <c r="Q37" i="29"/>
  <c r="R36" i="29"/>
  <c r="R39" i="12"/>
  <c r="Q40" i="12"/>
  <c r="R36" i="20"/>
  <c r="Q37" i="20"/>
  <c r="R37" i="1"/>
  <c r="Q38" i="1"/>
  <c r="R37" i="13"/>
  <c r="Q38" i="13"/>
  <c r="Q40" i="18"/>
  <c r="R39" i="18"/>
  <c r="Q39" i="35"/>
  <c r="R38" i="35"/>
  <c r="R37" i="30"/>
  <c r="Q38" i="30"/>
  <c r="R38" i="38"/>
  <c r="Q39" i="38"/>
  <c r="R37" i="36"/>
  <c r="Q38" i="36"/>
  <c r="Q37" i="11"/>
  <c r="P38" i="11"/>
  <c r="R39" i="19"/>
  <c r="Q40" i="19"/>
  <c r="Q37" i="32"/>
  <c r="R36" i="32"/>
  <c r="Q38" i="33"/>
  <c r="R37" i="33"/>
  <c r="Q39" i="10"/>
  <c r="R38" i="10"/>
  <c r="R38" i="37"/>
  <c r="Q39" i="37"/>
  <c r="R36" i="15"/>
  <c r="Q37" i="15"/>
  <c r="P39" i="9" l="1"/>
  <c r="Q38" i="9"/>
  <c r="Q39" i="39"/>
  <c r="R38" i="39"/>
  <c r="W37" i="39"/>
  <c r="Y36" i="39"/>
  <c r="U38" i="38"/>
  <c r="Y37" i="38"/>
  <c r="Q40" i="17"/>
  <c r="R39" i="17"/>
  <c r="Q38" i="31"/>
  <c r="R37" i="31"/>
  <c r="Q38" i="29"/>
  <c r="R37" i="29"/>
  <c r="Q39" i="34"/>
  <c r="R38" i="34"/>
  <c r="P39" i="11"/>
  <c r="Q38" i="11"/>
  <c r="R40" i="19"/>
  <c r="Q41" i="19"/>
  <c r="Q39" i="13"/>
  <c r="R38" i="13"/>
  <c r="R37" i="15"/>
  <c r="Q38" i="15"/>
  <c r="Q39" i="36"/>
  <c r="R38" i="36"/>
  <c r="Q39" i="1"/>
  <c r="R38" i="1"/>
  <c r="R37" i="32"/>
  <c r="Q38" i="32"/>
  <c r="R39" i="37"/>
  <c r="Q40" i="37"/>
  <c r="Q39" i="30"/>
  <c r="R38" i="30"/>
  <c r="R37" i="20"/>
  <c r="Q38" i="20"/>
  <c r="R39" i="38"/>
  <c r="Q40" i="38"/>
  <c r="R39" i="10"/>
  <c r="Q40" i="10"/>
  <c r="R39" i="35"/>
  <c r="Q40" i="35"/>
  <c r="Q41" i="12"/>
  <c r="R40" i="12"/>
  <c r="R38" i="33"/>
  <c r="Q39" i="33"/>
  <c r="Q41" i="18"/>
  <c r="R40" i="18"/>
  <c r="Y37" i="39" l="1"/>
  <c r="W38" i="39"/>
  <c r="R39" i="39"/>
  <c r="Q40" i="39"/>
  <c r="Q39" i="9"/>
  <c r="P40" i="9"/>
  <c r="Y38" i="38"/>
  <c r="U39" i="38"/>
  <c r="Q39" i="31"/>
  <c r="R38" i="31"/>
  <c r="R40" i="17"/>
  <c r="Q41" i="17"/>
  <c r="R39" i="34"/>
  <c r="Q40" i="34"/>
  <c r="R38" i="29"/>
  <c r="Q39" i="29"/>
  <c r="Q41" i="38"/>
  <c r="R40" i="38"/>
  <c r="Q42" i="18"/>
  <c r="R41" i="18"/>
  <c r="Q40" i="30"/>
  <c r="R39" i="30"/>
  <c r="Q40" i="13"/>
  <c r="R39" i="13"/>
  <c r="R39" i="33"/>
  <c r="Q40" i="33"/>
  <c r="Q41" i="37"/>
  <c r="R40" i="37"/>
  <c r="Q42" i="19"/>
  <c r="R41" i="19"/>
  <c r="R39" i="36"/>
  <c r="Q40" i="36"/>
  <c r="R38" i="15"/>
  <c r="Q39" i="15"/>
  <c r="Q39" i="32"/>
  <c r="R38" i="32"/>
  <c r="Q40" i="1"/>
  <c r="R39" i="1"/>
  <c r="R38" i="20"/>
  <c r="Q39" i="20"/>
  <c r="R41" i="12"/>
  <c r="Q42" i="12"/>
  <c r="R40" i="35"/>
  <c r="Q41" i="35"/>
  <c r="R40" i="10"/>
  <c r="Q41" i="10"/>
  <c r="Q39" i="11"/>
  <c r="P40" i="11"/>
  <c r="Q40" i="9" l="1"/>
  <c r="P41" i="9"/>
  <c r="R40" i="39"/>
  <c r="Q41" i="39"/>
  <c r="W39" i="39"/>
  <c r="Y38" i="39"/>
  <c r="Y39" i="38"/>
  <c r="U40" i="38"/>
  <c r="Q42" i="17"/>
  <c r="R41" i="17"/>
  <c r="R39" i="31"/>
  <c r="Q40" i="31"/>
  <c r="R39" i="29"/>
  <c r="Q40" i="29"/>
  <c r="R40" i="34"/>
  <c r="Q41" i="34"/>
  <c r="R41" i="37"/>
  <c r="Q42" i="37"/>
  <c r="Q40" i="11"/>
  <c r="P41" i="11"/>
  <c r="Q40" i="20"/>
  <c r="R39" i="20"/>
  <c r="R40" i="33"/>
  <c r="Q41" i="33"/>
  <c r="Q41" i="36"/>
  <c r="R40" i="36"/>
  <c r="Q43" i="12"/>
  <c r="R42" i="12"/>
  <c r="R42" i="19"/>
  <c r="Q43" i="19"/>
  <c r="Q41" i="30"/>
  <c r="R40" i="30"/>
  <c r="R40" i="1"/>
  <c r="Q41" i="1"/>
  <c r="R40" i="13"/>
  <c r="Q41" i="13"/>
  <c r="R41" i="10"/>
  <c r="Q42" i="10"/>
  <c r="Q42" i="35"/>
  <c r="R41" i="35"/>
  <c r="R39" i="32"/>
  <c r="Q40" i="32"/>
  <c r="R42" i="18"/>
  <c r="Q43" i="18"/>
  <c r="R39" i="15"/>
  <c r="Q40" i="15"/>
  <c r="Q42" i="38"/>
  <c r="R41" i="38"/>
  <c r="W40" i="39" l="1"/>
  <c r="Y39" i="39"/>
  <c r="Q42" i="39"/>
  <c r="R41" i="39"/>
  <c r="P42" i="9"/>
  <c r="Q41" i="9"/>
  <c r="Y40" i="38"/>
  <c r="U41" i="38"/>
  <c r="Q43" i="17"/>
  <c r="R42" i="17"/>
  <c r="R40" i="31"/>
  <c r="Q41" i="31"/>
  <c r="Q42" i="34"/>
  <c r="R41" i="34"/>
  <c r="Q41" i="29"/>
  <c r="R40" i="29"/>
  <c r="Q43" i="35"/>
  <c r="R42" i="35"/>
  <c r="Q42" i="36"/>
  <c r="R41" i="36"/>
  <c r="R42" i="10"/>
  <c r="Q43" i="10"/>
  <c r="Q42" i="13"/>
  <c r="R41" i="13"/>
  <c r="R41" i="33"/>
  <c r="Q42" i="33"/>
  <c r="R42" i="38"/>
  <c r="Q43" i="38"/>
  <c r="R40" i="32"/>
  <c r="Q41" i="32"/>
  <c r="P42" i="11"/>
  <c r="Q41" i="11"/>
  <c r="Q41" i="20"/>
  <c r="R40" i="20"/>
  <c r="Q42" i="30"/>
  <c r="R41" i="30"/>
  <c r="Q44" i="12"/>
  <c r="R43" i="12"/>
  <c r="R40" i="15"/>
  <c r="Q41" i="15"/>
  <c r="Q42" i="1"/>
  <c r="R41" i="1"/>
  <c r="R42" i="37"/>
  <c r="Q43" i="37"/>
  <c r="R43" i="18"/>
  <c r="Q44" i="18"/>
  <c r="Q44" i="19"/>
  <c r="R43" i="19"/>
  <c r="Q42" i="9" l="1"/>
  <c r="P43" i="9"/>
  <c r="R42" i="39"/>
  <c r="Q43" i="39"/>
  <c r="Y40" i="39"/>
  <c r="W41" i="39"/>
  <c r="U42" i="38"/>
  <c r="Y41" i="38"/>
  <c r="R41" i="31"/>
  <c r="Q42" i="31"/>
  <c r="R43" i="17"/>
  <c r="Q44" i="17"/>
  <c r="Q42" i="29"/>
  <c r="R41" i="29"/>
  <c r="R42" i="34"/>
  <c r="Q43" i="34"/>
  <c r="Q42" i="32"/>
  <c r="R41" i="32"/>
  <c r="Q44" i="38"/>
  <c r="R43" i="38"/>
  <c r="R42" i="33"/>
  <c r="Q43" i="33"/>
  <c r="Q42" i="15"/>
  <c r="R41" i="15"/>
  <c r="Q43" i="13"/>
  <c r="R42" i="13"/>
  <c r="Q45" i="18"/>
  <c r="R44" i="18"/>
  <c r="Q44" i="10"/>
  <c r="R43" i="10"/>
  <c r="Q43" i="30"/>
  <c r="R42" i="30"/>
  <c r="R44" i="12"/>
  <c r="Q45" i="12"/>
  <c r="R41" i="20"/>
  <c r="Q42" i="20"/>
  <c r="Q43" i="36"/>
  <c r="R42" i="36"/>
  <c r="Q44" i="37"/>
  <c r="R43" i="37"/>
  <c r="R42" i="1"/>
  <c r="Q43" i="1"/>
  <c r="R44" i="19"/>
  <c r="Q45" i="19"/>
  <c r="Q42" i="11"/>
  <c r="P43" i="11"/>
  <c r="R43" i="35"/>
  <c r="Q44" i="35"/>
  <c r="Y41" i="39" l="1"/>
  <c r="W42" i="39"/>
  <c r="R43" i="39"/>
  <c r="Q44" i="39"/>
  <c r="Q43" i="9"/>
  <c r="P44" i="9"/>
  <c r="Y42" i="38"/>
  <c r="U43" i="38"/>
  <c r="R44" i="17"/>
  <c r="Q45" i="17"/>
  <c r="R42" i="31"/>
  <c r="Q43" i="31"/>
  <c r="R43" i="34"/>
  <c r="Q44" i="34"/>
  <c r="R42" i="29"/>
  <c r="Q43" i="29"/>
  <c r="R44" i="37"/>
  <c r="Q45" i="37"/>
  <c r="Q45" i="35"/>
  <c r="R44" i="35"/>
  <c r="R43" i="36"/>
  <c r="Q44" i="36"/>
  <c r="Q44" i="13"/>
  <c r="R43" i="13"/>
  <c r="Q43" i="20"/>
  <c r="R42" i="20"/>
  <c r="R44" i="10"/>
  <c r="Q45" i="10"/>
  <c r="R45" i="18"/>
  <c r="Q46" i="18"/>
  <c r="Q43" i="15"/>
  <c r="R42" i="15"/>
  <c r="Q44" i="33"/>
  <c r="R43" i="33"/>
  <c r="R43" i="1"/>
  <c r="Q44" i="1"/>
  <c r="R45" i="19"/>
  <c r="Q46" i="19"/>
  <c r="R45" i="12"/>
  <c r="Q46" i="12"/>
  <c r="Q45" i="38"/>
  <c r="R44" i="38"/>
  <c r="Q43" i="11"/>
  <c r="P44" i="11"/>
  <c r="R43" i="30"/>
  <c r="Q44" i="30"/>
  <c r="Q43" i="32"/>
  <c r="R42" i="32"/>
  <c r="Q44" i="9" l="1"/>
  <c r="P45" i="9"/>
  <c r="Q45" i="39"/>
  <c r="R44" i="39"/>
  <c r="W43" i="39"/>
  <c r="Y42" i="39"/>
  <c r="U44" i="38"/>
  <c r="Y43" i="38"/>
  <c r="R43" i="31"/>
  <c r="Q44" i="31"/>
  <c r="Q46" i="17"/>
  <c r="R45" i="17"/>
  <c r="Q44" i="29"/>
  <c r="R43" i="29"/>
  <c r="R44" i="34"/>
  <c r="Q45" i="34"/>
  <c r="R45" i="10"/>
  <c r="Q46" i="10"/>
  <c r="R44" i="13"/>
  <c r="Q45" i="13"/>
  <c r="R44" i="1"/>
  <c r="Q45" i="1"/>
  <c r="Q45" i="36"/>
  <c r="R44" i="36"/>
  <c r="Q44" i="20"/>
  <c r="R43" i="20"/>
  <c r="R46" i="19"/>
  <c r="Q47" i="19"/>
  <c r="Q46" i="35"/>
  <c r="R45" i="35"/>
  <c r="R46" i="12"/>
  <c r="Q47" i="12"/>
  <c r="R45" i="37"/>
  <c r="Q46" i="37"/>
  <c r="Q44" i="32"/>
  <c r="R43" i="32"/>
  <c r="Q45" i="30"/>
  <c r="R44" i="30"/>
  <c r="R44" i="33"/>
  <c r="Q45" i="33"/>
  <c r="Q44" i="15"/>
  <c r="R43" i="15"/>
  <c r="R45" i="38"/>
  <c r="Q46" i="38"/>
  <c r="Q44" i="11"/>
  <c r="P45" i="11"/>
  <c r="R46" i="18"/>
  <c r="Q47" i="18"/>
  <c r="Y43" i="39" l="1"/>
  <c r="W44" i="39"/>
  <c r="R45" i="39"/>
  <c r="Q46" i="39"/>
  <c r="P46" i="9"/>
  <c r="Q45" i="9"/>
  <c r="U45" i="38"/>
  <c r="Y44" i="38"/>
  <c r="R46" i="17"/>
  <c r="Q47" i="17"/>
  <c r="R44" i="31"/>
  <c r="Q45" i="31"/>
  <c r="R45" i="34"/>
  <c r="Q46" i="34"/>
  <c r="Q45" i="29"/>
  <c r="R44" i="29"/>
  <c r="R44" i="15"/>
  <c r="Q45" i="15"/>
  <c r="R47" i="19"/>
  <c r="Q48" i="19"/>
  <c r="R47" i="12"/>
  <c r="Q48" i="12"/>
  <c r="Q45" i="20"/>
  <c r="R44" i="20"/>
  <c r="Q46" i="30"/>
  <c r="R45" i="30"/>
  <c r="Q46" i="36"/>
  <c r="R45" i="36"/>
  <c r="R45" i="1"/>
  <c r="Q46" i="1"/>
  <c r="R46" i="35"/>
  <c r="Q47" i="35"/>
  <c r="R45" i="33"/>
  <c r="Q46" i="33"/>
  <c r="Q45" i="32"/>
  <c r="R44" i="32"/>
  <c r="Q47" i="37"/>
  <c r="R46" i="37"/>
  <c r="R45" i="13"/>
  <c r="Q46" i="13"/>
  <c r="R47" i="18"/>
  <c r="Q48" i="18"/>
  <c r="Q45" i="11"/>
  <c r="P46" i="11"/>
  <c r="Q47" i="38"/>
  <c r="R46" i="38"/>
  <c r="Q47" i="10"/>
  <c r="R46" i="10"/>
  <c r="Q46" i="9" l="1"/>
  <c r="P47" i="9"/>
  <c r="R46" i="39"/>
  <c r="Q47" i="39"/>
  <c r="Y44" i="39"/>
  <c r="W45" i="39"/>
  <c r="Y45" i="38"/>
  <c r="U46" i="38"/>
  <c r="Q46" i="31"/>
  <c r="R45" i="31"/>
  <c r="Q48" i="17"/>
  <c r="R47" i="17"/>
  <c r="Q46" i="29"/>
  <c r="R45" i="29"/>
  <c r="R46" i="34"/>
  <c r="Q47" i="34"/>
  <c r="R46" i="30"/>
  <c r="Q47" i="30"/>
  <c r="Q47" i="36"/>
  <c r="R46" i="36"/>
  <c r="Q46" i="20"/>
  <c r="R45" i="20"/>
  <c r="R46" i="1"/>
  <c r="Q47" i="1"/>
  <c r="R48" i="18"/>
  <c r="Q49" i="18"/>
  <c r="Q49" i="12"/>
  <c r="R48" i="12"/>
  <c r="R47" i="37"/>
  <c r="Q48" i="37"/>
  <c r="R47" i="10"/>
  <c r="Q48" i="10"/>
  <c r="R46" i="33"/>
  <c r="Q47" i="33"/>
  <c r="R48" i="19"/>
  <c r="Q49" i="19"/>
  <c r="R45" i="32"/>
  <c r="Q46" i="32"/>
  <c r="R47" i="38"/>
  <c r="Q48" i="38"/>
  <c r="R46" i="13"/>
  <c r="Q47" i="13"/>
  <c r="Q46" i="11"/>
  <c r="P47" i="11"/>
  <c r="Q48" i="35"/>
  <c r="R47" i="35"/>
  <c r="R45" i="15"/>
  <c r="Q46" i="15"/>
  <c r="W46" i="39" l="1"/>
  <c r="Y45" i="39"/>
  <c r="R47" i="39"/>
  <c r="Q48" i="39"/>
  <c r="P48" i="9"/>
  <c r="Q47" i="9"/>
  <c r="U47" i="38"/>
  <c r="Y46" i="38"/>
  <c r="R48" i="17"/>
  <c r="Q49" i="17"/>
  <c r="R46" i="31"/>
  <c r="Q47" i="31"/>
  <c r="Q48" i="34"/>
  <c r="R47" i="34"/>
  <c r="R46" i="29"/>
  <c r="Q47" i="29"/>
  <c r="Q47" i="32"/>
  <c r="R46" i="32"/>
  <c r="Q47" i="20"/>
  <c r="R46" i="20"/>
  <c r="R49" i="19"/>
  <c r="Q50" i="19"/>
  <c r="Q48" i="1"/>
  <c r="R47" i="1"/>
  <c r="R47" i="33"/>
  <c r="Q48" i="33"/>
  <c r="R46" i="15"/>
  <c r="Q47" i="15"/>
  <c r="R48" i="10"/>
  <c r="Q49" i="10"/>
  <c r="Q49" i="35"/>
  <c r="R48" i="35"/>
  <c r="Q48" i="36"/>
  <c r="R47" i="36"/>
  <c r="R49" i="18"/>
  <c r="Q50" i="18"/>
  <c r="Q47" i="11"/>
  <c r="P48" i="11"/>
  <c r="R48" i="37"/>
  <c r="Q49" i="37"/>
  <c r="R47" i="13"/>
  <c r="Q48" i="13"/>
  <c r="R48" i="38"/>
  <c r="Q49" i="38"/>
  <c r="R47" i="30"/>
  <c r="Q48" i="30"/>
  <c r="Q50" i="12"/>
  <c r="R49" i="12"/>
  <c r="P49" i="9" l="1"/>
  <c r="Q48" i="9"/>
  <c r="Q49" i="39"/>
  <c r="R48" i="39"/>
  <c r="Y46" i="39"/>
  <c r="W47" i="39"/>
  <c r="U48" i="38"/>
  <c r="Y47" i="38"/>
  <c r="Q48" i="31"/>
  <c r="R47" i="31"/>
  <c r="Q50" i="17"/>
  <c r="R49" i="17"/>
  <c r="R47" i="29"/>
  <c r="Q48" i="29"/>
  <c r="R48" i="34"/>
  <c r="Q49" i="34"/>
  <c r="R48" i="33"/>
  <c r="Q49" i="33"/>
  <c r="R49" i="37"/>
  <c r="Q50" i="37"/>
  <c r="Q48" i="11"/>
  <c r="P49" i="11"/>
  <c r="Q48" i="15"/>
  <c r="R47" i="15"/>
  <c r="R50" i="12"/>
  <c r="Q51" i="12"/>
  <c r="Q49" i="30"/>
  <c r="R48" i="30"/>
  <c r="R48" i="1"/>
  <c r="Q49" i="1"/>
  <c r="Q51" i="18"/>
  <c r="R50" i="18"/>
  <c r="Q51" i="19"/>
  <c r="R50" i="19"/>
  <c r="Q50" i="10"/>
  <c r="R49" i="10"/>
  <c r="R48" i="36"/>
  <c r="Q49" i="36"/>
  <c r="R47" i="20"/>
  <c r="Q48" i="20"/>
  <c r="R48" i="13"/>
  <c r="Q49" i="13"/>
  <c r="R49" i="38"/>
  <c r="Q50" i="38"/>
  <c r="R49" i="35"/>
  <c r="Q50" i="35"/>
  <c r="R47" i="32"/>
  <c r="Q48" i="32"/>
  <c r="Y47" i="39" l="1"/>
  <c r="W48" i="39"/>
  <c r="R49" i="39"/>
  <c r="Q50" i="39"/>
  <c r="Q49" i="9"/>
  <c r="P50" i="9"/>
  <c r="U49" i="38"/>
  <c r="Y48" i="38"/>
  <c r="Q51" i="17"/>
  <c r="R50" i="17"/>
  <c r="Q49" i="31"/>
  <c r="R48" i="31"/>
  <c r="R49" i="34"/>
  <c r="Q50" i="34"/>
  <c r="Q49" i="29"/>
  <c r="R48" i="29"/>
  <c r="R48" i="15"/>
  <c r="Q49" i="15"/>
  <c r="R49" i="36"/>
  <c r="Q50" i="36"/>
  <c r="Q49" i="32"/>
  <c r="R48" i="32"/>
  <c r="Q50" i="13"/>
  <c r="R49" i="13"/>
  <c r="R49" i="30"/>
  <c r="Q50" i="30"/>
  <c r="Q49" i="20"/>
  <c r="R48" i="20"/>
  <c r="Q52" i="12"/>
  <c r="R51" i="12"/>
  <c r="R50" i="10"/>
  <c r="Q51" i="10"/>
  <c r="R50" i="35"/>
  <c r="Q51" i="35"/>
  <c r="P50" i="11"/>
  <c r="Q49" i="11"/>
  <c r="Q51" i="38"/>
  <c r="R50" i="38"/>
  <c r="Q51" i="37"/>
  <c r="R50" i="37"/>
  <c r="Q52" i="19"/>
  <c r="R51" i="19"/>
  <c r="R51" i="18"/>
  <c r="Q52" i="18"/>
  <c r="R49" i="1"/>
  <c r="Q50" i="1"/>
  <c r="Q50" i="33"/>
  <c r="R49" i="33"/>
  <c r="P51" i="9" l="1"/>
  <c r="Q50" i="9"/>
  <c r="R50" i="39"/>
  <c r="Q51" i="39"/>
  <c r="Y48" i="39"/>
  <c r="W49" i="39"/>
  <c r="Y49" i="38"/>
  <c r="U50" i="38"/>
  <c r="Q50" i="31"/>
  <c r="R49" i="31"/>
  <c r="R51" i="17"/>
  <c r="Q52" i="17"/>
  <c r="R49" i="29"/>
  <c r="Q50" i="29"/>
  <c r="R50" i="34"/>
  <c r="Q51" i="34"/>
  <c r="R51" i="38"/>
  <c r="Q52" i="38"/>
  <c r="R50" i="13"/>
  <c r="Q51" i="13"/>
  <c r="Q53" i="19"/>
  <c r="R52" i="19"/>
  <c r="R49" i="20"/>
  <c r="Q50" i="20"/>
  <c r="R50" i="30"/>
  <c r="Q51" i="30"/>
  <c r="R51" i="37"/>
  <c r="Q52" i="37"/>
  <c r="R50" i="33"/>
  <c r="Q51" i="33"/>
  <c r="P51" i="11"/>
  <c r="Q50" i="11"/>
  <c r="R50" i="1"/>
  <c r="Q51" i="1"/>
  <c r="Q52" i="35"/>
  <c r="R51" i="35"/>
  <c r="Q50" i="32"/>
  <c r="R49" i="32"/>
  <c r="Q53" i="18"/>
  <c r="R52" i="18"/>
  <c r="R51" i="10"/>
  <c r="Q52" i="10"/>
  <c r="Q51" i="36"/>
  <c r="R50" i="36"/>
  <c r="R49" i="15"/>
  <c r="Q50" i="15"/>
  <c r="R52" i="12"/>
  <c r="Q53" i="12"/>
  <c r="W50" i="39" l="1"/>
  <c r="Y49" i="39"/>
  <c r="R51" i="39"/>
  <c r="Q52" i="39"/>
  <c r="P52" i="9"/>
  <c r="Q51" i="9"/>
  <c r="Y50" i="38"/>
  <c r="U51" i="38"/>
  <c r="R52" i="17"/>
  <c r="Q53" i="17"/>
  <c r="Q51" i="31"/>
  <c r="R50" i="31"/>
  <c r="Q52" i="34"/>
  <c r="R51" i="34"/>
  <c r="R50" i="29"/>
  <c r="Q51" i="29"/>
  <c r="P52" i="11"/>
  <c r="Q51" i="11"/>
  <c r="R52" i="37"/>
  <c r="Q53" i="37"/>
  <c r="R53" i="12"/>
  <c r="Q54" i="12"/>
  <c r="R51" i="30"/>
  <c r="Q52" i="30"/>
  <c r="Q51" i="20"/>
  <c r="R50" i="20"/>
  <c r="R50" i="32"/>
  <c r="Q51" i="32"/>
  <c r="R52" i="35"/>
  <c r="Q53" i="35"/>
  <c r="Q54" i="19"/>
  <c r="R53" i="19"/>
  <c r="R51" i="1"/>
  <c r="Q52" i="1"/>
  <c r="R51" i="13"/>
  <c r="Q52" i="13"/>
  <c r="Q51" i="15"/>
  <c r="R50" i="15"/>
  <c r="R51" i="36"/>
  <c r="Q52" i="36"/>
  <c r="R52" i="10"/>
  <c r="Q53" i="10"/>
  <c r="R52" i="38"/>
  <c r="Q53" i="38"/>
  <c r="R53" i="18"/>
  <c r="Q54" i="18"/>
  <c r="Q52" i="33"/>
  <c r="R51" i="33"/>
  <c r="P53" i="9" l="1"/>
  <c r="Q52" i="9"/>
  <c r="R52" i="39"/>
  <c r="Q53" i="39"/>
  <c r="W51" i="39"/>
  <c r="Y50" i="39"/>
  <c r="Y51" i="38"/>
  <c r="U52" i="38"/>
  <c r="Q52" i="31"/>
  <c r="R51" i="31"/>
  <c r="R53" i="17"/>
  <c r="Q54" i="17"/>
  <c r="Q52" i="29"/>
  <c r="R51" i="29"/>
  <c r="Q53" i="34"/>
  <c r="R52" i="34"/>
  <c r="R52" i="36"/>
  <c r="Q53" i="36"/>
  <c r="R51" i="20"/>
  <c r="Q52" i="20"/>
  <c r="Q53" i="30"/>
  <c r="R52" i="30"/>
  <c r="R54" i="12"/>
  <c r="Q55" i="12"/>
  <c r="R52" i="1"/>
  <c r="Q53" i="1"/>
  <c r="Q54" i="37"/>
  <c r="R53" i="37"/>
  <c r="R52" i="13"/>
  <c r="Q53" i="13"/>
  <c r="Q53" i="33"/>
  <c r="R52" i="33"/>
  <c r="Q55" i="19"/>
  <c r="R54" i="19"/>
  <c r="Q55" i="18"/>
  <c r="R54" i="18"/>
  <c r="Q54" i="38"/>
  <c r="R53" i="38"/>
  <c r="Q54" i="35"/>
  <c r="R53" i="35"/>
  <c r="P53" i="11"/>
  <c r="Q52" i="11"/>
  <c r="R53" i="10"/>
  <c r="Q54" i="10"/>
  <c r="Q52" i="32"/>
  <c r="R51" i="32"/>
  <c r="R51" i="15"/>
  <c r="Q52" i="15"/>
  <c r="Y51" i="39" l="1"/>
  <c r="W52" i="39"/>
  <c r="Q54" i="39"/>
  <c r="R53" i="39"/>
  <c r="P54" i="9"/>
  <c r="Q53" i="9"/>
  <c r="Y52" i="38"/>
  <c r="U53" i="38"/>
  <c r="R54" i="17"/>
  <c r="Q55" i="17"/>
  <c r="Q53" i="31"/>
  <c r="R52" i="31"/>
  <c r="Q54" i="34"/>
  <c r="R53" i="34"/>
  <c r="R52" i="29"/>
  <c r="Q53" i="29"/>
  <c r="Q54" i="13"/>
  <c r="R53" i="13"/>
  <c r="Q54" i="33"/>
  <c r="R53" i="33"/>
  <c r="Q53" i="11"/>
  <c r="P54" i="11"/>
  <c r="R54" i="37"/>
  <c r="Q55" i="37"/>
  <c r="R53" i="1"/>
  <c r="Q54" i="1"/>
  <c r="R54" i="38"/>
  <c r="Q55" i="38"/>
  <c r="Q56" i="12"/>
  <c r="R55" i="12"/>
  <c r="R52" i="15"/>
  <c r="Q53" i="15"/>
  <c r="R53" i="30"/>
  <c r="Q54" i="30"/>
  <c r="R54" i="10"/>
  <c r="Q55" i="10"/>
  <c r="Q53" i="20"/>
  <c r="R52" i="20"/>
  <c r="Q56" i="18"/>
  <c r="R55" i="18"/>
  <c r="R52" i="32"/>
  <c r="Q53" i="32"/>
  <c r="Q54" i="36"/>
  <c r="R53" i="36"/>
  <c r="Q55" i="35"/>
  <c r="R54" i="35"/>
  <c r="Q56" i="19"/>
  <c r="R55" i="19"/>
  <c r="Q54" i="9" l="1"/>
  <c r="P55" i="9"/>
  <c r="R54" i="39"/>
  <c r="Q55" i="39"/>
  <c r="Y52" i="39"/>
  <c r="W53" i="39"/>
  <c r="U54" i="38"/>
  <c r="Y53" i="38"/>
  <c r="R53" i="31"/>
  <c r="Q54" i="31"/>
  <c r="Q56" i="17"/>
  <c r="R55" i="17"/>
  <c r="Q54" i="29"/>
  <c r="R53" i="29"/>
  <c r="Q55" i="34"/>
  <c r="R54" i="34"/>
  <c r="Q57" i="18"/>
  <c r="R56" i="18"/>
  <c r="R54" i="1"/>
  <c r="Q55" i="1"/>
  <c r="R56" i="12"/>
  <c r="Q57" i="12"/>
  <c r="R55" i="10"/>
  <c r="Q56" i="10"/>
  <c r="Q56" i="37"/>
  <c r="R55" i="37"/>
  <c r="Q55" i="30"/>
  <c r="R54" i="30"/>
  <c r="Q54" i="11"/>
  <c r="P55" i="11"/>
  <c r="Q56" i="38"/>
  <c r="R55" i="38"/>
  <c r="R53" i="20"/>
  <c r="Q54" i="20"/>
  <c r="Q57" i="19"/>
  <c r="R56" i="19"/>
  <c r="R55" i="35"/>
  <c r="Q56" i="35"/>
  <c r="Q54" i="15"/>
  <c r="R53" i="15"/>
  <c r="R54" i="36"/>
  <c r="Q55" i="36"/>
  <c r="Q55" i="33"/>
  <c r="R54" i="33"/>
  <c r="Q55" i="13"/>
  <c r="R54" i="13"/>
  <c r="Q54" i="32"/>
  <c r="R53" i="32"/>
  <c r="W54" i="39" l="1"/>
  <c r="Y53" i="39"/>
  <c r="Q56" i="39"/>
  <c r="R55" i="39"/>
  <c r="P56" i="9"/>
  <c r="Q55" i="9"/>
  <c r="Y54" i="38"/>
  <c r="U55" i="38"/>
  <c r="R56" i="17"/>
  <c r="Q57" i="17"/>
  <c r="Q55" i="31"/>
  <c r="R54" i="31"/>
  <c r="R55" i="34"/>
  <c r="Q56" i="34"/>
  <c r="Q55" i="29"/>
  <c r="R54" i="29"/>
  <c r="Q56" i="30"/>
  <c r="R55" i="30"/>
  <c r="Q57" i="37"/>
  <c r="R56" i="37"/>
  <c r="Q57" i="35"/>
  <c r="R56" i="35"/>
  <c r="R56" i="10"/>
  <c r="Q57" i="10"/>
  <c r="R57" i="12"/>
  <c r="Q58" i="12"/>
  <c r="R56" i="38"/>
  <c r="Q57" i="38"/>
  <c r="Q55" i="11"/>
  <c r="P56" i="11"/>
  <c r="R55" i="33"/>
  <c r="Q56" i="33"/>
  <c r="R55" i="1"/>
  <c r="Q56" i="1"/>
  <c r="Q55" i="15"/>
  <c r="R54" i="15"/>
  <c r="R55" i="13"/>
  <c r="Q56" i="13"/>
  <c r="Q55" i="32"/>
  <c r="R54" i="32"/>
  <c r="R57" i="19"/>
  <c r="Q58" i="19"/>
  <c r="Q55" i="20"/>
  <c r="R54" i="20"/>
  <c r="R55" i="36"/>
  <c r="Q56" i="36"/>
  <c r="R57" i="18"/>
  <c r="Q58" i="18"/>
  <c r="P57" i="9" l="1"/>
  <c r="Q56" i="9"/>
  <c r="R56" i="39"/>
  <c r="Q57" i="39"/>
  <c r="W55" i="39"/>
  <c r="Y54" i="39"/>
  <c r="Y55" i="38"/>
  <c r="U56" i="38"/>
  <c r="Q56" i="31"/>
  <c r="R55" i="31"/>
  <c r="R57" i="17"/>
  <c r="Q58" i="17"/>
  <c r="Q56" i="29"/>
  <c r="R55" i="29"/>
  <c r="Q57" i="34"/>
  <c r="R56" i="34"/>
  <c r="R58" i="12"/>
  <c r="Q59" i="12"/>
  <c r="R56" i="36"/>
  <c r="Q57" i="36"/>
  <c r="Q58" i="10"/>
  <c r="R57" i="10"/>
  <c r="R56" i="33"/>
  <c r="Q57" i="33"/>
  <c r="R55" i="20"/>
  <c r="Q56" i="20"/>
  <c r="R57" i="35"/>
  <c r="Q58" i="35"/>
  <c r="R55" i="32"/>
  <c r="Q56" i="32"/>
  <c r="Q57" i="13"/>
  <c r="R56" i="13"/>
  <c r="Q56" i="15"/>
  <c r="R55" i="15"/>
  <c r="Q57" i="1"/>
  <c r="R56" i="1"/>
  <c r="Q56" i="11"/>
  <c r="P57" i="11"/>
  <c r="Q58" i="37"/>
  <c r="R57" i="37"/>
  <c r="R58" i="18"/>
  <c r="Q59" i="18"/>
  <c r="Q59" i="19"/>
  <c r="R58" i="19"/>
  <c r="R57" i="38"/>
  <c r="Q58" i="38"/>
  <c r="Q57" i="30"/>
  <c r="R56" i="30"/>
  <c r="Y55" i="39" l="1"/>
  <c r="W56" i="39"/>
  <c r="Q58" i="39"/>
  <c r="R57" i="39"/>
  <c r="P58" i="9"/>
  <c r="Q57" i="9"/>
  <c r="Y56" i="38"/>
  <c r="U57" i="38"/>
  <c r="Q59" i="17"/>
  <c r="R58" i="17"/>
  <c r="R56" i="31"/>
  <c r="Q57" i="31"/>
  <c r="R57" i="34"/>
  <c r="Q58" i="34"/>
  <c r="R56" i="29"/>
  <c r="Q57" i="29"/>
  <c r="Q58" i="33"/>
  <c r="R57" i="33"/>
  <c r="Q57" i="11"/>
  <c r="P58" i="11"/>
  <c r="Q58" i="1"/>
  <c r="R57" i="1"/>
  <c r="Q59" i="10"/>
  <c r="R58" i="10"/>
  <c r="R58" i="38"/>
  <c r="Q59" i="38"/>
  <c r="Q58" i="30"/>
  <c r="R57" i="30"/>
  <c r="R56" i="15"/>
  <c r="Q57" i="15"/>
  <c r="Q58" i="36"/>
  <c r="R57" i="36"/>
  <c r="Q60" i="19"/>
  <c r="R59" i="19"/>
  <c r="Q58" i="13"/>
  <c r="R57" i="13"/>
  <c r="Q60" i="18"/>
  <c r="R59" i="18"/>
  <c r="Q57" i="32"/>
  <c r="R56" i="32"/>
  <c r="R59" i="12"/>
  <c r="Q60" i="12"/>
  <c r="R58" i="35"/>
  <c r="Q59" i="35"/>
  <c r="Q57" i="20"/>
  <c r="R56" i="20"/>
  <c r="R58" i="37"/>
  <c r="Q59" i="37"/>
  <c r="P59" i="9" l="1"/>
  <c r="Q58" i="9"/>
  <c r="R58" i="39"/>
  <c r="Q59" i="39"/>
  <c r="W57" i="39"/>
  <c r="Y56" i="39"/>
  <c r="Y57" i="38"/>
  <c r="U58" i="38"/>
  <c r="R57" i="31"/>
  <c r="Q58" i="31"/>
  <c r="R59" i="17"/>
  <c r="Q60" i="17"/>
  <c r="R57" i="29"/>
  <c r="Q58" i="29"/>
  <c r="Q59" i="34"/>
  <c r="R58" i="34"/>
  <c r="R59" i="35"/>
  <c r="Q60" i="35"/>
  <c r="Q60" i="38"/>
  <c r="R59" i="38"/>
  <c r="Q61" i="12"/>
  <c r="R60" i="12"/>
  <c r="Q59" i="13"/>
  <c r="R58" i="13"/>
  <c r="R59" i="10"/>
  <c r="Q60" i="10"/>
  <c r="R58" i="30"/>
  <c r="Q59" i="30"/>
  <c r="Q61" i="19"/>
  <c r="R60" i="19"/>
  <c r="R60" i="18"/>
  <c r="Q61" i="18"/>
  <c r="Q58" i="20"/>
  <c r="R57" i="20"/>
  <c r="R58" i="36"/>
  <c r="Q59" i="36"/>
  <c r="R58" i="1"/>
  <c r="Q59" i="1"/>
  <c r="Q60" i="37"/>
  <c r="R59" i="37"/>
  <c r="Q58" i="11"/>
  <c r="P59" i="11"/>
  <c r="R57" i="32"/>
  <c r="Q58" i="32"/>
  <c r="Q58" i="15"/>
  <c r="R57" i="15"/>
  <c r="R58" i="33"/>
  <c r="Q59" i="33"/>
  <c r="Y57" i="39" l="1"/>
  <c r="W58" i="39"/>
  <c r="Q60" i="39"/>
  <c r="R59" i="39"/>
  <c r="P60" i="9"/>
  <c r="Q59" i="9"/>
  <c r="U59" i="38"/>
  <c r="Y58" i="38"/>
  <c r="Q61" i="17"/>
  <c r="R60" i="17"/>
  <c r="Q59" i="31"/>
  <c r="R58" i="31"/>
  <c r="Q60" i="34"/>
  <c r="R59" i="34"/>
  <c r="R58" i="29"/>
  <c r="Q59" i="29"/>
  <c r="R59" i="30"/>
  <c r="Q60" i="30"/>
  <c r="R60" i="37"/>
  <c r="Q61" i="37"/>
  <c r="Q60" i="1"/>
  <c r="R59" i="1"/>
  <c r="R60" i="10"/>
  <c r="Q61" i="10"/>
  <c r="Q60" i="13"/>
  <c r="R59" i="13"/>
  <c r="Q62" i="19"/>
  <c r="R61" i="19"/>
  <c r="R58" i="20"/>
  <c r="Q59" i="20"/>
  <c r="R61" i="12"/>
  <c r="Q62" i="12"/>
  <c r="Q60" i="33"/>
  <c r="R59" i="33"/>
  <c r="Q60" i="36"/>
  <c r="R59" i="36"/>
  <c r="Q61" i="38"/>
  <c r="R60" i="38"/>
  <c r="R58" i="15"/>
  <c r="Q59" i="15"/>
  <c r="Q59" i="32"/>
  <c r="R58" i="32"/>
  <c r="P60" i="11"/>
  <c r="Q59" i="11"/>
  <c r="Q62" i="18"/>
  <c r="R61" i="18"/>
  <c r="Q61" i="35"/>
  <c r="R60" i="35"/>
  <c r="P61" i="9" l="1"/>
  <c r="Q60" i="9"/>
  <c r="R60" i="39"/>
  <c r="Q61" i="39"/>
  <c r="W59" i="39"/>
  <c r="Y58" i="39"/>
  <c r="U60" i="38"/>
  <c r="Y59" i="38"/>
  <c r="R59" i="31"/>
  <c r="Q60" i="31"/>
  <c r="Q62" i="17"/>
  <c r="R61" i="17"/>
  <c r="R59" i="29"/>
  <c r="Q60" i="29"/>
  <c r="Q61" i="34"/>
  <c r="R60" i="34"/>
  <c r="R62" i="19"/>
  <c r="Q63" i="19"/>
  <c r="R60" i="13"/>
  <c r="Q61" i="13"/>
  <c r="Q62" i="10"/>
  <c r="R61" i="10"/>
  <c r="Q61" i="36"/>
  <c r="R60" i="36"/>
  <c r="Q61" i="1"/>
  <c r="R60" i="1"/>
  <c r="Q62" i="38"/>
  <c r="R61" i="38"/>
  <c r="Q62" i="37"/>
  <c r="R61" i="37"/>
  <c r="Q61" i="30"/>
  <c r="R60" i="30"/>
  <c r="Q60" i="15"/>
  <c r="R59" i="15"/>
  <c r="Q61" i="33"/>
  <c r="R60" i="33"/>
  <c r="Q63" i="18"/>
  <c r="R62" i="18"/>
  <c r="Q63" i="12"/>
  <c r="R62" i="12"/>
  <c r="P61" i="11"/>
  <c r="Q60" i="11"/>
  <c r="R61" i="35"/>
  <c r="Q62" i="35"/>
  <c r="Q60" i="20"/>
  <c r="R59" i="20"/>
  <c r="R59" i="32"/>
  <c r="Q60" i="32"/>
  <c r="Y59" i="39" l="1"/>
  <c r="W60" i="39"/>
  <c r="Q62" i="39"/>
  <c r="R61" i="39"/>
  <c r="P62" i="9"/>
  <c r="Q61" i="9"/>
  <c r="U61" i="38"/>
  <c r="Y60" i="38"/>
  <c r="Q63" i="17"/>
  <c r="R62" i="17"/>
  <c r="R60" i="31"/>
  <c r="Q61" i="31"/>
  <c r="Q62" i="34"/>
  <c r="R61" i="34"/>
  <c r="Q61" i="29"/>
  <c r="R60" i="29"/>
  <c r="Q63" i="37"/>
  <c r="R62" i="37"/>
  <c r="Q63" i="38"/>
  <c r="R62" i="38"/>
  <c r="Q64" i="18"/>
  <c r="R63" i="18"/>
  <c r="R61" i="1"/>
  <c r="Q62" i="1"/>
  <c r="R61" i="36"/>
  <c r="Q62" i="36"/>
  <c r="R60" i="20"/>
  <c r="Q61" i="20"/>
  <c r="R60" i="15"/>
  <c r="Q61" i="15"/>
  <c r="R62" i="10"/>
  <c r="Q63" i="10"/>
  <c r="R63" i="12"/>
  <c r="Q64" i="12"/>
  <c r="Q63" i="35"/>
  <c r="R62" i="35"/>
  <c r="R61" i="13"/>
  <c r="Q62" i="13"/>
  <c r="R61" i="30"/>
  <c r="Q62" i="30"/>
  <c r="Q62" i="33"/>
  <c r="R61" i="33"/>
  <c r="Q64" i="19"/>
  <c r="R63" i="19"/>
  <c r="Q61" i="32"/>
  <c r="R60" i="32"/>
  <c r="Q61" i="11"/>
  <c r="P62" i="11"/>
  <c r="Q62" i="9" l="1"/>
  <c r="P63" i="9"/>
  <c r="R62" i="39"/>
  <c r="Q63" i="39"/>
  <c r="W61" i="39"/>
  <c r="Y60" i="39"/>
  <c r="U62" i="38"/>
  <c r="Y61" i="38"/>
  <c r="R61" i="31"/>
  <c r="Q62" i="31"/>
  <c r="Q64" i="17"/>
  <c r="R63" i="17"/>
  <c r="Q62" i="29"/>
  <c r="R61" i="29"/>
  <c r="Q63" i="34"/>
  <c r="R62" i="34"/>
  <c r="Q63" i="13"/>
  <c r="R62" i="13"/>
  <c r="R62" i="1"/>
  <c r="Q63" i="1"/>
  <c r="R62" i="36"/>
  <c r="Q63" i="36"/>
  <c r="R63" i="35"/>
  <c r="Q64" i="35"/>
  <c r="R64" i="18"/>
  <c r="Q65" i="18"/>
  <c r="Q64" i="38"/>
  <c r="R63" i="38"/>
  <c r="Q62" i="20"/>
  <c r="R61" i="20"/>
  <c r="Q62" i="11"/>
  <c r="P63" i="11"/>
  <c r="Q64" i="37"/>
  <c r="R63" i="37"/>
  <c r="R63" i="10"/>
  <c r="Q64" i="10"/>
  <c r="R61" i="32"/>
  <c r="Q62" i="32"/>
  <c r="R64" i="12"/>
  <c r="Q65" i="12"/>
  <c r="Q65" i="19"/>
  <c r="R64" i="19"/>
  <c r="R61" i="15"/>
  <c r="Q62" i="15"/>
  <c r="R62" i="33"/>
  <c r="Q63" i="33"/>
  <c r="Q63" i="30"/>
  <c r="R62" i="30"/>
  <c r="Y61" i="39" l="1"/>
  <c r="W62" i="39"/>
  <c r="Q64" i="39"/>
  <c r="R63" i="39"/>
  <c r="Q63" i="9"/>
  <c r="P64" i="9"/>
  <c r="Y62" i="38"/>
  <c r="U63" i="38"/>
  <c r="R64" i="17"/>
  <c r="Q65" i="17"/>
  <c r="R62" i="31"/>
  <c r="Q63" i="31"/>
  <c r="R63" i="34"/>
  <c r="Q64" i="34"/>
  <c r="Q63" i="29"/>
  <c r="R62" i="29"/>
  <c r="R65" i="19"/>
  <c r="Q66" i="19"/>
  <c r="R66" i="19" s="1"/>
  <c r="Q63" i="20"/>
  <c r="R62" i="20"/>
  <c r="R65" i="12"/>
  <c r="Q66" i="12"/>
  <c r="R66" i="12" s="1"/>
  <c r="R64" i="38"/>
  <c r="Q65" i="38"/>
  <c r="Q66" i="18"/>
  <c r="R66" i="18" s="1"/>
  <c r="R65" i="18"/>
  <c r="Q65" i="35"/>
  <c r="R64" i="35"/>
  <c r="Q64" i="36"/>
  <c r="R63" i="36"/>
  <c r="Q63" i="32"/>
  <c r="R62" i="32"/>
  <c r="Q64" i="30"/>
  <c r="R63" i="30"/>
  <c r="R62" i="15"/>
  <c r="Q63" i="15"/>
  <c r="Q63" i="11"/>
  <c r="P64" i="11"/>
  <c r="R63" i="33"/>
  <c r="Q64" i="33"/>
  <c r="Q65" i="10"/>
  <c r="R64" i="10"/>
  <c r="R63" i="1"/>
  <c r="Q64" i="1"/>
  <c r="R64" i="37"/>
  <c r="Q65" i="37"/>
  <c r="R63" i="13"/>
  <c r="Q64" i="13"/>
  <c r="P65" i="9" l="1"/>
  <c r="Q64" i="9"/>
  <c r="R64" i="39"/>
  <c r="Q65" i="39"/>
  <c r="W63" i="39"/>
  <c r="Y62" i="39"/>
  <c r="Y63" i="38"/>
  <c r="U64" i="38"/>
  <c r="Q64" i="31"/>
  <c r="R63" i="31"/>
  <c r="Q66" i="17"/>
  <c r="R66" i="17" s="1"/>
  <c r="R65" i="17"/>
  <c r="R63" i="29"/>
  <c r="Q64" i="29"/>
  <c r="R64" i="34"/>
  <c r="Q65" i="34"/>
  <c r="Q66" i="10"/>
  <c r="R66" i="10" s="1"/>
  <c r="R65" i="10"/>
  <c r="R65" i="35"/>
  <c r="Q66" i="35"/>
  <c r="R66" i="35" s="1"/>
  <c r="Q65" i="1"/>
  <c r="R64" i="1"/>
  <c r="Q65" i="36"/>
  <c r="R64" i="36"/>
  <c r="Q65" i="33"/>
  <c r="R64" i="33"/>
  <c r="R65" i="38"/>
  <c r="Q66" i="38"/>
  <c r="R66" i="38" s="1"/>
  <c r="P65" i="11"/>
  <c r="Q64" i="11"/>
  <c r="Q65" i="13"/>
  <c r="R64" i="13"/>
  <c r="Q64" i="15"/>
  <c r="R63" i="15"/>
  <c r="R63" i="32"/>
  <c r="Q64" i="32"/>
  <c r="Q64" i="20"/>
  <c r="R63" i="20"/>
  <c r="Q66" i="37"/>
  <c r="R66" i="37" s="1"/>
  <c r="R65" i="37"/>
  <c r="Q65" i="30"/>
  <c r="R64" i="30"/>
  <c r="Y63" i="39" l="1"/>
  <c r="W64" i="39"/>
  <c r="R65" i="39"/>
  <c r="Q66" i="39"/>
  <c r="R66" i="39" s="1"/>
  <c r="P66" i="9"/>
  <c r="Q66" i="9" s="1"/>
  <c r="Q65" i="9"/>
  <c r="U65" i="38"/>
  <c r="Y64" i="38"/>
  <c r="R64" i="31"/>
  <c r="Q65" i="31"/>
  <c r="R65" i="34"/>
  <c r="Q66" i="34"/>
  <c r="R66" i="34" s="1"/>
  <c r="R64" i="29"/>
  <c r="Q65" i="29"/>
  <c r="R65" i="33"/>
  <c r="Q66" i="33"/>
  <c r="R66" i="33" s="1"/>
  <c r="R65" i="36"/>
  <c r="Q66" i="36"/>
  <c r="R66" i="36" s="1"/>
  <c r="R65" i="1"/>
  <c r="Q66" i="1"/>
  <c r="R66" i="1" s="1"/>
  <c r="Q65" i="11"/>
  <c r="P66" i="11"/>
  <c r="Q66" i="11" s="1"/>
  <c r="Q65" i="20"/>
  <c r="R64" i="20"/>
  <c r="Q65" i="32"/>
  <c r="R64" i="32"/>
  <c r="R65" i="30"/>
  <c r="Q66" i="30"/>
  <c r="R66" i="30" s="1"/>
  <c r="Q65" i="15"/>
  <c r="R64" i="15"/>
  <c r="Q66" i="13"/>
  <c r="R66" i="13" s="1"/>
  <c r="R65" i="13"/>
  <c r="W65" i="39" l="1"/>
  <c r="Y64" i="39"/>
  <c r="Y65" i="38"/>
  <c r="U66" i="38"/>
  <c r="Y66" i="38" s="1"/>
  <c r="R65" i="31"/>
  <c r="Q66" i="31"/>
  <c r="Q66" i="29"/>
  <c r="R66" i="29" s="1"/>
  <c r="R65" i="29"/>
  <c r="R65" i="32"/>
  <c r="Q66" i="32"/>
  <c r="R66" i="32" s="1"/>
  <c r="Q66" i="20"/>
  <c r="R66" i="20" s="1"/>
  <c r="R65" i="20"/>
  <c r="Q66" i="15"/>
  <c r="R66" i="15" s="1"/>
  <c r="R65" i="15"/>
  <c r="Y65" i="39" l="1"/>
  <c r="W66" i="39"/>
  <c r="Y66" i="39" s="1"/>
  <c r="Q67" i="31"/>
  <c r="R66" i="31"/>
  <c r="R67" i="31" l="1"/>
  <c r="Q68" i="31"/>
  <c r="Q69" i="31" l="1"/>
  <c r="R68" i="31"/>
  <c r="R69" i="31" l="1"/>
  <c r="Q70" i="31"/>
  <c r="Q71" i="31" l="1"/>
  <c r="R70" i="31"/>
  <c r="R71" i="31" l="1"/>
  <c r="Q72" i="31"/>
  <c r="R72" i="31" l="1"/>
  <c r="Q73" i="31"/>
  <c r="R73" i="31" l="1"/>
  <c r="Q74" i="31"/>
  <c r="Q75" i="31" l="1"/>
  <c r="R74" i="31"/>
  <c r="R75" i="31" l="1"/>
  <c r="Q76" i="31"/>
  <c r="Q77" i="31" l="1"/>
  <c r="R76" i="31"/>
  <c r="R77" i="31" l="1"/>
  <c r="Q78" i="31"/>
  <c r="Q79" i="31" l="1"/>
  <c r="R78" i="31"/>
  <c r="R79" i="31" l="1"/>
  <c r="Q80" i="31"/>
  <c r="R80" i="31" l="1"/>
  <c r="Q81" i="31"/>
  <c r="R81" i="31" l="1"/>
  <c r="Q82" i="31"/>
  <c r="Q83" i="31" l="1"/>
  <c r="R82" i="31"/>
  <c r="R83" i="31" l="1"/>
  <c r="Q84" i="31"/>
  <c r="Q85" i="31" l="1"/>
  <c r="R84" i="31"/>
  <c r="Q86" i="31" l="1"/>
  <c r="R85" i="31"/>
  <c r="Q87" i="31" l="1"/>
  <c r="R86" i="31"/>
  <c r="Q88" i="31" l="1"/>
  <c r="R87" i="31"/>
  <c r="Q89" i="31" l="1"/>
  <c r="R88" i="31"/>
  <c r="R89" i="31" l="1"/>
  <c r="Q90" i="31"/>
  <c r="R90" i="31" l="1"/>
  <c r="Q91" i="31"/>
  <c r="R91" i="31" l="1"/>
  <c r="Q92" i="31"/>
  <c r="Q93" i="31" l="1"/>
  <c r="R92" i="31"/>
  <c r="R93" i="31" l="1"/>
  <c r="Q94" i="31"/>
  <c r="R94" i="31" l="1"/>
  <c r="Q95" i="31"/>
  <c r="R95" i="31" l="1"/>
  <c r="Q96" i="31"/>
  <c r="R96" i="31" l="1"/>
  <c r="Q97" i="31"/>
  <c r="R97" i="31" l="1"/>
  <c r="Q98" i="31"/>
  <c r="R98" i="31" l="1"/>
  <c r="Q99" i="31"/>
  <c r="Q100" i="31" l="1"/>
  <c r="R99" i="31"/>
  <c r="R100" i="31" l="1"/>
  <c r="Q101" i="31"/>
  <c r="R101" i="31" l="1"/>
  <c r="Q102" i="31"/>
  <c r="Q103" i="31" l="1"/>
  <c r="R102" i="31"/>
  <c r="R103" i="31" l="1"/>
  <c r="Q104" i="31"/>
  <c r="R104" i="31" l="1"/>
  <c r="Q105" i="31"/>
  <c r="Q106" i="31" l="1"/>
  <c r="R105" i="31"/>
  <c r="R106" i="31" l="1"/>
  <c r="Q107" i="31"/>
  <c r="R107" i="31" l="1"/>
  <c r="Q108" i="31"/>
  <c r="Q109" i="31" l="1"/>
  <c r="R108" i="31"/>
  <c r="R109" i="31" l="1"/>
  <c r="Q110" i="31"/>
  <c r="Q111" i="31" l="1"/>
  <c r="R110" i="31"/>
  <c r="R111" i="31" l="1"/>
  <c r="Q112" i="31"/>
  <c r="R112" i="31" l="1"/>
  <c r="Q113" i="31"/>
  <c r="Q114" i="31" l="1"/>
  <c r="R113" i="31"/>
  <c r="Q115" i="31" l="1"/>
  <c r="R114" i="31"/>
  <c r="R115" i="31" l="1"/>
  <c r="Q116" i="31"/>
  <c r="R116" i="31" l="1"/>
  <c r="Q117" i="31"/>
  <c r="R117" i="31" l="1"/>
  <c r="Q118" i="31"/>
  <c r="R118" i="31" l="1"/>
  <c r="Q119" i="31"/>
  <c r="Q120" i="31" l="1"/>
  <c r="R119" i="31"/>
  <c r="Q121" i="31" l="1"/>
  <c r="R120" i="31"/>
  <c r="R121" i="31" l="1"/>
  <c r="Q122" i="31"/>
  <c r="Q123" i="31" l="1"/>
  <c r="R122" i="31"/>
  <c r="Q124" i="31" l="1"/>
  <c r="R123" i="31"/>
  <c r="R124" i="31" l="1"/>
  <c r="Q125" i="31"/>
  <c r="Q126" i="31" l="1"/>
  <c r="R125" i="31"/>
  <c r="Q127" i="31" l="1"/>
  <c r="R126" i="31"/>
  <c r="R127" i="31" l="1"/>
  <c r="Q128" i="31"/>
  <c r="R128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tc={D4C76D3E-F9E1-4C43-9D4F-72154D82DA66}</author>
  </authors>
  <commentList>
    <comment ref="B6" authorId="0" shapeId="0" xr:uid="{D4C76D3E-F9E1-4C43-9D4F-72154D82DA66}">
      <text>
        <t>[Threaded comment]
Your version of Excel allows you to read this threaded comment; however, any edits to it will get removed if the file is opened in a newer version of Excel. Learn more: https://go.microsoft.com/fwlink/?linkid=870924
Comment:
    Items in yellow can be copied across to all months as they are recurring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<sst xmlns="http://schemas.openxmlformats.org/spreadsheetml/2006/main" count="4460" uniqueCount="347">
  <si>
    <t>INCOME</t>
  </si>
  <si>
    <t>Passive Income</t>
  </si>
  <si>
    <t>Home</t>
  </si>
  <si>
    <t>Investment 1</t>
  </si>
  <si>
    <t>Investment 2</t>
  </si>
  <si>
    <t>EXPENSES</t>
  </si>
  <si>
    <t>Mortgage - Home</t>
  </si>
  <si>
    <t>BALANCE SHEET</t>
  </si>
  <si>
    <t xml:space="preserve"> </t>
  </si>
  <si>
    <t>Essentials</t>
  </si>
  <si>
    <t>Electricity</t>
  </si>
  <si>
    <t>Gas</t>
  </si>
  <si>
    <t>Water</t>
  </si>
  <si>
    <t>Council</t>
  </si>
  <si>
    <t>Groceries</t>
  </si>
  <si>
    <t>House Maintenance</t>
  </si>
  <si>
    <t xml:space="preserve">Maintenance general </t>
  </si>
  <si>
    <t>Health</t>
  </si>
  <si>
    <t>Pet Insurance</t>
  </si>
  <si>
    <t>Vet Bills/Medicine</t>
  </si>
  <si>
    <t xml:space="preserve">Medical </t>
  </si>
  <si>
    <t>Discretionary</t>
  </si>
  <si>
    <t>Presents etc</t>
  </si>
  <si>
    <t>Entertainment</t>
  </si>
  <si>
    <t>Eating Out</t>
  </si>
  <si>
    <t>Personal Care</t>
  </si>
  <si>
    <t>Sports / Activities</t>
  </si>
  <si>
    <t>Other</t>
  </si>
  <si>
    <t>Clothing</t>
  </si>
  <si>
    <t>Current LVR</t>
  </si>
  <si>
    <t>Home Loan / Mortgage</t>
  </si>
  <si>
    <t/>
  </si>
  <si>
    <t>Actual Spending (average)</t>
  </si>
  <si>
    <t>Step 1</t>
  </si>
  <si>
    <t>Step 2</t>
  </si>
  <si>
    <t>Rent (cost per month)</t>
  </si>
  <si>
    <t>Mortgage - Home per month</t>
  </si>
  <si>
    <t>PER MONTH</t>
  </si>
  <si>
    <t>PASSIVE PM</t>
  </si>
  <si>
    <t>INCOME STATEMENT</t>
  </si>
  <si>
    <t>Salary 1</t>
  </si>
  <si>
    <t>Salary 2</t>
  </si>
  <si>
    <t>Interest Earned (from savings)</t>
  </si>
  <si>
    <t>Dividends</t>
  </si>
  <si>
    <t>Credit Card 1 (total limit)</t>
  </si>
  <si>
    <t>Credit Card 2 (total limit)</t>
  </si>
  <si>
    <t>Savings Account 1</t>
  </si>
  <si>
    <t>Savings Account 2</t>
  </si>
  <si>
    <t>Other income</t>
  </si>
  <si>
    <t>ASSETS</t>
  </si>
  <si>
    <t>LIABILITIES (DEBT)</t>
  </si>
  <si>
    <t>Stocks (local)</t>
  </si>
  <si>
    <t>Stocks (offshore)</t>
  </si>
  <si>
    <t>Real Estate / Other income:</t>
  </si>
  <si>
    <t>Other stocks</t>
  </si>
  <si>
    <t>PER YEAR</t>
  </si>
  <si>
    <t>TOTAL INCOME</t>
  </si>
  <si>
    <t>(per month)</t>
  </si>
  <si>
    <t>TOTAL EXPENSES</t>
  </si>
  <si>
    <t>TOTAL LIABILITY</t>
  </si>
  <si>
    <t>TOTAL ASSETS</t>
  </si>
  <si>
    <t>Other Loans</t>
  </si>
  <si>
    <t>Personal Loans</t>
  </si>
  <si>
    <t>EQUITY</t>
  </si>
  <si>
    <t>PASSIVE</t>
  </si>
  <si>
    <t>Super 1</t>
  </si>
  <si>
    <t>Super 2</t>
  </si>
  <si>
    <t>ASSET VALUE</t>
  </si>
  <si>
    <t>Investment 1 (rental income)</t>
  </si>
  <si>
    <t>Investment 2 (rental income)</t>
  </si>
  <si>
    <t>Salary 1 (ex tax per month)</t>
  </si>
  <si>
    <t>Salary 2 (ex tax per month)</t>
  </si>
  <si>
    <t>Interest from Savings (per month)</t>
  </si>
  <si>
    <t>Income from Dividends (per month)</t>
  </si>
  <si>
    <t>Any other income (per month)</t>
  </si>
  <si>
    <t>Rental income 1 (per week)</t>
  </si>
  <si>
    <t>Rental income 2 (per week)</t>
  </si>
  <si>
    <t>Savings (account 1)</t>
  </si>
  <si>
    <t>Savings (account 2)</t>
  </si>
  <si>
    <t>Stocks / Shares (ASX)</t>
  </si>
  <si>
    <t>Stocks / Shares (NASDAQ Other)</t>
  </si>
  <si>
    <t>Other stocks (Crypto etc)</t>
  </si>
  <si>
    <t>Home Value (estimate)</t>
  </si>
  <si>
    <t>Investment 1 - Mortgage</t>
  </si>
  <si>
    <t>Investment 2 - Mortgage</t>
  </si>
  <si>
    <t>Home - Mortgage</t>
  </si>
  <si>
    <t>CASH FLOW (monthly)</t>
  </si>
  <si>
    <t>LIABILITIES</t>
  </si>
  <si>
    <t>ACTUALS - 2025</t>
  </si>
  <si>
    <t>Monthly Target / Budget</t>
  </si>
  <si>
    <t>MONTHLY BUDGET TRACKER</t>
  </si>
  <si>
    <t>Over or Under Budget</t>
  </si>
  <si>
    <t>Rental Payment</t>
  </si>
  <si>
    <t xml:space="preserve">Spending per month </t>
  </si>
  <si>
    <t>Credit Card Repayments</t>
  </si>
  <si>
    <t>Home and other Fixed Expenses</t>
  </si>
  <si>
    <t>Car Lease</t>
  </si>
  <si>
    <t>Total Income - Total Expenses</t>
  </si>
  <si>
    <t>Monthly Personal Expenses / Spending</t>
  </si>
  <si>
    <t>Other (Insert any other not covered)</t>
  </si>
  <si>
    <t>Total Property Assets</t>
  </si>
  <si>
    <t>Total Equity Available</t>
  </si>
  <si>
    <t>Overall Net worth</t>
  </si>
  <si>
    <t>Cashflow</t>
  </si>
  <si>
    <t>SUMMARY METRICS</t>
  </si>
  <si>
    <t>Total Property Debt</t>
  </si>
  <si>
    <t>Property Stats</t>
  </si>
  <si>
    <t>Update Grey Cells in Budget Column (Column C)</t>
  </si>
  <si>
    <t>At the end of each month, update the corresponding month with actual figures achieved</t>
  </si>
  <si>
    <t>Step 3</t>
  </si>
  <si>
    <t>Adjust budget figures as required</t>
  </si>
  <si>
    <t>Borrowing Power</t>
  </si>
  <si>
    <t>Assumed 3% above loan rate for Assessment Rate</t>
  </si>
  <si>
    <t>Savings Potential</t>
  </si>
  <si>
    <t>monthly</t>
  </si>
  <si>
    <t>yearly</t>
  </si>
  <si>
    <t>Liquidity</t>
  </si>
  <si>
    <t>Total Borrowing Capacity</t>
  </si>
  <si>
    <t>HOME Mortgage (P+I) - per month</t>
  </si>
  <si>
    <t>From Budget Spreadsheet - DO NOT UPDATE THIS</t>
  </si>
  <si>
    <t>Investment 3, interest rate on debt</t>
  </si>
  <si>
    <t>Equity available 80%</t>
  </si>
  <si>
    <t>Estimated Capital required (at 5% income) to be financially independent</t>
  </si>
  <si>
    <t>LOC</t>
  </si>
  <si>
    <t>Stocks</t>
  </si>
  <si>
    <t>Capital Required to Invest</t>
  </si>
  <si>
    <t>Amount for 100% Passive</t>
  </si>
  <si>
    <t>Emergency Fund</t>
  </si>
  <si>
    <t>Bank will lend you</t>
  </si>
  <si>
    <t>Property Yield</t>
  </si>
  <si>
    <t>Waterworks Insurance</t>
  </si>
  <si>
    <t xml:space="preserve">Mobile Phone TF </t>
  </si>
  <si>
    <t xml:space="preserve">Nala Food </t>
  </si>
  <si>
    <t xml:space="preserve">External </t>
  </si>
  <si>
    <t>Pool Service / Chemicals</t>
  </si>
  <si>
    <t>HCF</t>
  </si>
  <si>
    <t xml:space="preserve">Doctor </t>
  </si>
  <si>
    <t>Orthodontist</t>
  </si>
  <si>
    <t>END</t>
  </si>
  <si>
    <t>Misc /Travel</t>
  </si>
  <si>
    <t>Wedding</t>
  </si>
  <si>
    <t>Crossfit</t>
  </si>
  <si>
    <t>Drama</t>
  </si>
  <si>
    <t>Netball</t>
  </si>
  <si>
    <t>Basketball Team</t>
  </si>
  <si>
    <t>Tonia</t>
  </si>
  <si>
    <t>School fees/ other</t>
  </si>
  <si>
    <t>Nala</t>
  </si>
  <si>
    <t>Kids Pocket Money</t>
  </si>
  <si>
    <t>KV Insurance</t>
  </si>
  <si>
    <t>FL Insurance</t>
  </si>
  <si>
    <t>-</t>
  </si>
  <si>
    <t>ACTUALS - 2024</t>
  </si>
  <si>
    <t>Assuming no additional income to offset</t>
  </si>
  <si>
    <t>Total Liquidity</t>
  </si>
  <si>
    <t>PASSIVE INCOME</t>
  </si>
  <si>
    <t>TOTAL ASSETS (including Super)</t>
  </si>
  <si>
    <t>%</t>
  </si>
  <si>
    <t>CASHFLOW</t>
  </si>
  <si>
    <t>Total Net Worth (incl Super)</t>
  </si>
  <si>
    <t>Total Net Worth (ex Super)</t>
  </si>
  <si>
    <t>Every WORKING month buys you this many MONTHS</t>
  </si>
  <si>
    <t>Available Cash (including Line of Credit)</t>
  </si>
  <si>
    <t>Stocks currently invested</t>
  </si>
  <si>
    <t xml:space="preserve">INPUTS!!! Fill out the ORANGE cells ONLY </t>
  </si>
  <si>
    <t>Without Salary - you'll last this many MONTHS</t>
  </si>
  <si>
    <t>Without Salary - you'll last this many YEARS</t>
  </si>
  <si>
    <t>Interest Forest Lake</t>
  </si>
  <si>
    <t>Interest Strathpine</t>
  </si>
  <si>
    <t>Investment 1 - Forest Lake value</t>
  </si>
  <si>
    <t>Investment 2 - Strathpine value</t>
  </si>
  <si>
    <t>Month</t>
  </si>
  <si>
    <t>Date</t>
  </si>
  <si>
    <t>Properties</t>
  </si>
  <si>
    <t>Liabilities</t>
  </si>
  <si>
    <t>Stock contribution per month</t>
  </si>
  <si>
    <t>NET GROWTH FORECAST</t>
  </si>
  <si>
    <t>Total Net Worth</t>
  </si>
  <si>
    <t>Savings</t>
  </si>
  <si>
    <t>Stock Growth Rate (PY)</t>
  </si>
  <si>
    <t>Property Growth Rate (PY)</t>
  </si>
  <si>
    <t>Estimated Capital required (at 8% income) to be financially independent</t>
  </si>
  <si>
    <t>Add Prop</t>
  </si>
  <si>
    <t>Add Liab</t>
  </si>
  <si>
    <t>Yearly Prop Purchase Value</t>
  </si>
  <si>
    <t>Interest Rate</t>
  </si>
  <si>
    <t>Amount</t>
  </si>
  <si>
    <t>Monthly Principle</t>
  </si>
  <si>
    <t>Yearly Payback</t>
  </si>
  <si>
    <t>1. Mortgage</t>
  </si>
  <si>
    <t>3. Food</t>
  </si>
  <si>
    <t>4. Transportation</t>
  </si>
  <si>
    <t>5. Insurance Costs</t>
  </si>
  <si>
    <t>6. Health</t>
  </si>
  <si>
    <t>Monthly</t>
  </si>
  <si>
    <t>Yearly</t>
  </si>
  <si>
    <t>Capital for Dream 1 @ 6%</t>
  </si>
  <si>
    <t>Dream 1 - Financial Security (Cover the Basics)</t>
  </si>
  <si>
    <t>Dream 2 - Financial Vitality (half of extra expenses)</t>
  </si>
  <si>
    <t>Dream 3 - Financial Independence (cover it all)</t>
  </si>
  <si>
    <t>Dream 4 - Absolute Financial Freedom - END GOAL</t>
  </si>
  <si>
    <t>1. Financial Independence</t>
  </si>
  <si>
    <t>4. Toys / Gifts / Electronics</t>
  </si>
  <si>
    <t>2. Travel / Holidays</t>
  </si>
  <si>
    <t>Capital for Dream 2 @ 6%</t>
  </si>
  <si>
    <t>Capital for Dream 3 @ 6%</t>
  </si>
  <si>
    <t>Capital for Dream 4 @ 5%</t>
  </si>
  <si>
    <t xml:space="preserve">6. Contribution to kids </t>
  </si>
  <si>
    <t>5. Beach house (5m)</t>
  </si>
  <si>
    <t>Emergency Fund needed - 12 Months</t>
  </si>
  <si>
    <t>Current Capital</t>
  </si>
  <si>
    <t>Potential Equity</t>
  </si>
  <si>
    <t>(excluding PPOR)</t>
  </si>
  <si>
    <t>Investment 3</t>
  </si>
  <si>
    <t>Investment 3 - Mt Sheridan value</t>
  </si>
  <si>
    <t>Total Capital</t>
  </si>
  <si>
    <t>3. Expensive Dinners</t>
  </si>
  <si>
    <t>Investment 3 (rental income)</t>
  </si>
  <si>
    <t>Invest Mt Sheridan</t>
  </si>
  <si>
    <t>Interest Mt Sheridan</t>
  </si>
  <si>
    <t>Rental income Forest Lake (per week)</t>
  </si>
  <si>
    <t>Rental income Strathpine (per week)</t>
  </si>
  <si>
    <t>Rental income Mt Sheridan (per week)</t>
  </si>
  <si>
    <t>Investment 1 Forest Lake - Mortgage</t>
  </si>
  <si>
    <t>Investment 2 Strathpine - Mortgage</t>
  </si>
  <si>
    <t>Investment 3 Mt Sheridan - Mortgage</t>
  </si>
  <si>
    <t>2. Utilities / Essentials</t>
  </si>
  <si>
    <t>1. Other / Entertainment</t>
  </si>
  <si>
    <t>Budget</t>
  </si>
  <si>
    <t>2. Sports/Activities</t>
  </si>
  <si>
    <t>3. Discretionary</t>
  </si>
  <si>
    <t>4. Financial Security</t>
  </si>
  <si>
    <t>(not including home)</t>
  </si>
  <si>
    <t>Total Net Asset Worth (excl Super)</t>
  </si>
  <si>
    <t>Starting point personal</t>
  </si>
  <si>
    <t>Pay off Strathpine</t>
  </si>
  <si>
    <t>Pay down Mt Sheridan</t>
  </si>
  <si>
    <t>Pay down Forest Lake</t>
  </si>
  <si>
    <t>Money Remains</t>
  </si>
  <si>
    <t>Action Taken</t>
  </si>
  <si>
    <t>Investment 4 Eimeo - Mortgage</t>
  </si>
  <si>
    <t>Investment 4 - Eimeo value</t>
  </si>
  <si>
    <t>Interest Eimeo</t>
  </si>
  <si>
    <t>Rental income - Eimeo (per week)</t>
  </si>
  <si>
    <t>Investment 4 (rental income)</t>
  </si>
  <si>
    <t>Investment 5 (rental income)</t>
  </si>
  <si>
    <t>Investment 5 - Mortgage</t>
  </si>
  <si>
    <t>Investmen 5 - value</t>
  </si>
  <si>
    <t>Rental income -  (per week)</t>
  </si>
  <si>
    <t>Investment 5 - value</t>
  </si>
  <si>
    <t>CASHFLOW PM</t>
  </si>
  <si>
    <t>Amount for 100% Passive (break even)</t>
  </si>
  <si>
    <t>Interest Investment 5</t>
  </si>
  <si>
    <t>Other expenses Forest Lake</t>
  </si>
  <si>
    <t>Other expenses Strathpine</t>
  </si>
  <si>
    <t>Other expenses Mt Sheridan</t>
  </si>
  <si>
    <t>Other expenses Eimeo</t>
  </si>
  <si>
    <t>Other expenses Investment 5</t>
  </si>
  <si>
    <t>Investment Expenses</t>
  </si>
  <si>
    <t>Forest Lake</t>
  </si>
  <si>
    <t>Council Rates</t>
  </si>
  <si>
    <t>Water Rates</t>
  </si>
  <si>
    <t>Total</t>
  </si>
  <si>
    <t>Rental Income Per week</t>
  </si>
  <si>
    <t xml:space="preserve">Property management </t>
  </si>
  <si>
    <t>Building/Landlords Insurance</t>
  </si>
  <si>
    <t>Mount Sheridan</t>
  </si>
  <si>
    <t>Eimeo</t>
  </si>
  <si>
    <t>Strathpine</t>
  </si>
  <si>
    <t>Insurance</t>
  </si>
  <si>
    <t>Repairs</t>
  </si>
  <si>
    <t>Interest / Expenses Forest Lake</t>
  </si>
  <si>
    <t>Interest / Expenses Strathpine</t>
  </si>
  <si>
    <t>Interest / Expenses Mt Sheridan</t>
  </si>
  <si>
    <t>Interest / Expenses Eimeo</t>
  </si>
  <si>
    <t>Interest / Expenses Investment 5</t>
  </si>
  <si>
    <t>Negative Gearing Potential</t>
  </si>
  <si>
    <t>% Gross</t>
  </si>
  <si>
    <t>% Net</t>
  </si>
  <si>
    <t>Real Estate / Other income (gross):</t>
  </si>
  <si>
    <t>Estimated Capital required (at 6.5% income) to be financially independent</t>
  </si>
  <si>
    <t>Total N</t>
  </si>
  <si>
    <t>Total Net Asset Worth (excl PPOR)</t>
  </si>
  <si>
    <t>Potential Property Purchase (with equity as leverage)</t>
  </si>
  <si>
    <t>Sale from Home</t>
  </si>
  <si>
    <t>Sell non crypto stocks</t>
  </si>
  <si>
    <t>Sell Forest Lake</t>
  </si>
  <si>
    <t>200k of Crypto stocks</t>
  </si>
  <si>
    <t>Holding Costs</t>
  </si>
  <si>
    <t>Tax Back</t>
  </si>
  <si>
    <t>Annual</t>
  </si>
  <si>
    <t>400k of crypto stocks</t>
  </si>
  <si>
    <t>New Mortgage</t>
  </si>
  <si>
    <t>???</t>
  </si>
  <si>
    <t>STOCKS - ASX/NYSE</t>
  </si>
  <si>
    <t>STOCKS - Crypto</t>
  </si>
  <si>
    <t>Additional Mortgage</t>
  </si>
  <si>
    <t>Potential Asset Growth per year</t>
  </si>
  <si>
    <t>Funds Needed</t>
  </si>
  <si>
    <t>Remaining</t>
  </si>
  <si>
    <t>LOC / Offset funds available</t>
  </si>
  <si>
    <t>5% Already paid</t>
  </si>
  <si>
    <t>Total Required</t>
  </si>
  <si>
    <t>capital gain</t>
  </si>
  <si>
    <t>Sell properties and stocks</t>
  </si>
  <si>
    <t>Sell FOREST LAKE</t>
  </si>
  <si>
    <t>Sell STRATHPINE</t>
  </si>
  <si>
    <t>Sell SOME STOCKS</t>
  </si>
  <si>
    <t>Sell Strathpine</t>
  </si>
  <si>
    <t>Sell Stocks</t>
  </si>
  <si>
    <t>INTERIM</t>
  </si>
  <si>
    <t>END STATE</t>
  </si>
  <si>
    <t>Running total</t>
  </si>
  <si>
    <t>ACTION Plan</t>
  </si>
  <si>
    <t>1. Sell stocks, pay down mortgage</t>
  </si>
  <si>
    <t>2. Buy stocks back with 1M</t>
  </si>
  <si>
    <t>Stock investment</t>
  </si>
  <si>
    <t>Stock expenses</t>
  </si>
  <si>
    <t>Stocks loan</t>
  </si>
  <si>
    <t>Stock loan repayment</t>
  </si>
  <si>
    <t>Mortgage Jacaranda</t>
  </si>
  <si>
    <t>Mortgage Waterworks</t>
  </si>
  <si>
    <t>Refinance Strathpine</t>
  </si>
  <si>
    <t>Waterworks Loan</t>
  </si>
  <si>
    <t>Investment 2 - Strathpine</t>
  </si>
  <si>
    <t>Investment 5 - Waterworks</t>
  </si>
  <si>
    <t>Strathpine Loan</t>
  </si>
  <si>
    <t>Rental Income - Strathpine</t>
  </si>
  <si>
    <t>Rental income -  Waterworks (per week)</t>
  </si>
  <si>
    <t>Interest / Expenses Waterworks</t>
  </si>
  <si>
    <t>Other expenses Waterworks</t>
  </si>
  <si>
    <t>Interest Waterworks</t>
  </si>
  <si>
    <t>ADDED Mortgage against strathpine</t>
  </si>
  <si>
    <t>Stamp Duty paid</t>
  </si>
  <si>
    <t>Funds remaining from initial stock sale</t>
  </si>
  <si>
    <t>25 Jacaranda Ave, Kenmore Hills (HOME)</t>
  </si>
  <si>
    <t>Pending Settlement amount</t>
  </si>
  <si>
    <t>Mortgage</t>
  </si>
  <si>
    <t>Super payment</t>
  </si>
  <si>
    <t>Deposit back</t>
  </si>
  <si>
    <t>Running Total</t>
  </si>
  <si>
    <t>Mortgage Redraw</t>
  </si>
  <si>
    <t>Stocks Loan</t>
  </si>
  <si>
    <t>Stocks Value</t>
  </si>
  <si>
    <t>Savings (account 2) - commsec</t>
  </si>
  <si>
    <t>Savings (account 2) - superhero</t>
  </si>
  <si>
    <t>Savings Account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</si>
</sst>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_);_(@_)"/>
  </numFmts>
  <fonts count="6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25"/>
      <color theme="1"/>
      <name val="Arial"/>
      <family val="2"/>
    </font>
    <font>
      <sz val="25"/>
      <color theme="1"/>
      <name val="Arial"/>
      <family val="2"/>
    </font>
    <font>
      <b/>
      <sz val="25"/>
      <color theme="0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12"/>
      <color theme="0"/>
      <name val="Arial"/>
      <family val="2"/>
    </font>
    <font>
      <b/>
      <sz val="20"/>
      <color theme="0"/>
      <name val="Arial"/>
      <family val="2"/>
    </font>
    <font>
      <sz val="20"/>
      <color theme="0"/>
      <name val="Arial"/>
      <family val="2"/>
    </font>
    <font>
      <b/>
      <sz val="16"/>
      <color theme="0"/>
      <name val="Arial"/>
      <family val="2"/>
    </font>
    <font>
      <sz val="12"/>
      <color theme="0"/>
      <name val="Arial"/>
      <family val="2"/>
    </font>
    <font>
      <b/>
      <sz val="25"/>
      <color theme="1"/>
      <name val="Calibri"/>
      <family val="2"/>
      <scheme val="minor"/>
    </font>
    <font>
      <b/>
      <sz val="40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4"/>
      <name val="Arial"/>
      <family val="2"/>
    </font>
    <font>
      <sz val="25"/>
      <color theme="0"/>
      <name val="Calibri"/>
      <family val="2"/>
      <scheme val="minor"/>
    </font>
    <font>
      <b/>
      <sz val="22"/>
      <color theme="0"/>
      <name val="Arial"/>
      <family val="2"/>
    </font>
    <font>
      <b/>
      <sz val="14"/>
      <color theme="0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b/>
      <sz val="26"/>
      <color theme="1"/>
      <name val="Arial"/>
      <family val="2"/>
    </font>
    <font>
      <b/>
      <sz val="36"/>
      <color theme="0"/>
      <name val="Arial"/>
      <family val="2"/>
    </font>
    <font>
      <sz val="36"/>
      <color theme="1"/>
      <name val="Calibri"/>
      <family val="2"/>
      <scheme val="minor"/>
    </font>
    <font>
      <b/>
      <sz val="14"/>
      <color theme="4"/>
      <name val="Arial"/>
      <family val="2"/>
    </font>
    <font>
      <sz val="26"/>
      <color theme="0"/>
      <name val="Arial"/>
      <family val="2"/>
    </font>
    <font>
      <sz val="36"/>
      <color theme="0"/>
      <name val="Arial"/>
      <family val="2"/>
    </font>
    <font>
      <sz val="36"/>
      <color theme="1"/>
      <name val="Arial"/>
      <family val="2"/>
    </font>
    <font>
      <b/>
      <sz val="30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28"/>
      <color theme="0"/>
      <name val="Arial"/>
      <family val="2"/>
    </font>
    <font>
      <b/>
      <sz val="20"/>
      <color theme="4"/>
      <name val="Arial"/>
      <family val="2"/>
    </font>
    <font>
      <sz val="20"/>
      <color theme="4"/>
      <name val="Arial"/>
      <family val="2"/>
    </font>
    <font>
      <sz val="26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theme="4"/>
      <name val="Arial"/>
      <family val="2"/>
    </font>
    <font>
      <sz val="36"/>
      <color theme="4"/>
      <name val="Arial"/>
      <family val="2"/>
    </font>
    <font>
      <b/>
      <sz val="36"/>
      <color rgb="FFFF0000"/>
      <name val="Arial"/>
      <family val="2"/>
    </font>
    <font>
      <sz val="36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48"/>
      <color theme="0"/>
      <name val="Arial"/>
      <family val="2"/>
    </font>
    <font>
      <b/>
      <sz val="36"/>
      <name val="Arial"/>
      <family val="2"/>
    </font>
    <font>
      <b/>
      <i/>
      <sz val="28"/>
      <color theme="1"/>
      <name val="Arial"/>
      <family val="2"/>
    </font>
    <font>
      <sz val="25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37">
    <xf numFmtId="0" fontId="0" fillId="0" borderId="0" xfId="0"/>
    <xf numFmtId="0" fontId="3" fillId="0" borderId="0" xfId="0" applyFont="1"/>
    <xf numFmtId="0" fontId="5" fillId="0" borderId="0" xfId="0" applyFont="1"/>
    <xf numFmtId="44" fontId="3" fillId="0" borderId="0" xfId="2" applyFont="1"/>
    <xf numFmtId="0" fontId="3" fillId="0" borderId="0" xfId="0" applyFont="1" applyAlignment="1">
      <alignment vertical="center"/>
    </xf>
    <xf numFmtId="0" fontId="4" fillId="7" borderId="5" xfId="0" applyFont="1" applyFill="1" applyBorder="1"/>
    <xf numFmtId="0" fontId="3" fillId="0" borderId="5" xfId="0" applyFont="1" applyBorder="1"/>
    <xf numFmtId="44" fontId="3" fillId="0" borderId="0" xfId="2" applyFont="1" applyFill="1"/>
    <xf numFmtId="44" fontId="3" fillId="0" borderId="0" xfId="2" applyFont="1" applyBorder="1"/>
    <xf numFmtId="44" fontId="3" fillId="0" borderId="0" xfId="2" applyFont="1" applyFill="1" applyBorder="1" applyAlignment="1">
      <alignment horizontal="right" vertical="center"/>
    </xf>
    <xf numFmtId="44" fontId="5" fillId="0" borderId="0" xfId="2" applyFont="1" applyFill="1" applyBorder="1" applyAlignment="1">
      <alignment horizontal="right"/>
    </xf>
    <xf numFmtId="44" fontId="5" fillId="7" borderId="0" xfId="2" applyFont="1" applyFill="1" applyBorder="1"/>
    <xf numFmtId="44" fontId="3" fillId="0" borderId="0" xfId="2" applyFont="1" applyBorder="1" applyAlignment="1">
      <alignment horizontal="right"/>
    </xf>
    <xf numFmtId="44" fontId="5" fillId="7" borderId="14" xfId="2" applyFont="1" applyFill="1" applyBorder="1"/>
    <xf numFmtId="44" fontId="3" fillId="0" borderId="14" xfId="2" applyFont="1" applyBorder="1"/>
    <xf numFmtId="44" fontId="3" fillId="0" borderId="0" xfId="2" quotePrefix="1" applyFont="1" applyBorder="1"/>
    <xf numFmtId="44" fontId="7" fillId="6" borderId="0" xfId="2" applyFont="1" applyFill="1" applyBorder="1"/>
    <xf numFmtId="44" fontId="9" fillId="0" borderId="0" xfId="2" applyFont="1"/>
    <xf numFmtId="0" fontId="9" fillId="0" borderId="0" xfId="0" applyFont="1"/>
    <xf numFmtId="0" fontId="9" fillId="0" borderId="5" xfId="0" applyFont="1" applyBorder="1"/>
    <xf numFmtId="44" fontId="9" fillId="0" borderId="0" xfId="2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4" fontId="9" fillId="0" borderId="0" xfId="2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44" fontId="9" fillId="0" borderId="0" xfId="2" applyFont="1" applyFill="1" applyBorder="1"/>
    <xf numFmtId="0" fontId="16" fillId="0" borderId="0" xfId="0" applyFont="1"/>
    <xf numFmtId="0" fontId="9" fillId="0" borderId="0" xfId="0" applyFont="1" applyAlignment="1">
      <alignment horizontal="center"/>
    </xf>
    <xf numFmtId="0" fontId="23" fillId="10" borderId="2" xfId="4" applyFont="1" applyFill="1" applyBorder="1"/>
    <xf numFmtId="0" fontId="23" fillId="10" borderId="5" xfId="4" applyFont="1" applyFill="1" applyBorder="1"/>
    <xf numFmtId="44" fontId="19" fillId="0" borderId="0" xfId="2" applyFont="1" applyFill="1" applyBorder="1"/>
    <xf numFmtId="0" fontId="18" fillId="0" borderId="0" xfId="0" applyFont="1"/>
    <xf numFmtId="43" fontId="9" fillId="0" borderId="0" xfId="1" applyFont="1" applyFill="1" applyBorder="1"/>
    <xf numFmtId="0" fontId="20" fillId="0" borderId="7" xfId="0" applyFont="1" applyBorder="1"/>
    <xf numFmtId="0" fontId="24" fillId="0" borderId="8" xfId="0" applyFont="1" applyBorder="1"/>
    <xf numFmtId="44" fontId="24" fillId="0" borderId="8" xfId="2" applyFont="1" applyBorder="1"/>
    <xf numFmtId="44" fontId="9" fillId="0" borderId="8" xfId="2" applyFont="1" applyFill="1" applyBorder="1"/>
    <xf numFmtId="0" fontId="13" fillId="0" borderId="5" xfId="0" applyFont="1" applyBorder="1"/>
    <xf numFmtId="0" fontId="14" fillId="0" borderId="0" xfId="0" applyFont="1" applyAlignment="1">
      <alignment horizontal="center"/>
    </xf>
    <xf numFmtId="44" fontId="13" fillId="0" borderId="0" xfId="0" applyNumberFormat="1" applyFont="1" applyAlignment="1">
      <alignment horizontal="center"/>
    </xf>
    <xf numFmtId="44" fontId="13" fillId="0" borderId="6" xfId="0" applyNumberFormat="1" applyFont="1" applyBorder="1" applyAlignment="1">
      <alignment horizontal="center"/>
    </xf>
    <xf numFmtId="0" fontId="13" fillId="0" borderId="0" xfId="0" applyFont="1"/>
    <xf numFmtId="44" fontId="13" fillId="0" borderId="0" xfId="2" applyFont="1" applyBorder="1"/>
    <xf numFmtId="0" fontId="14" fillId="0" borderId="5" xfId="0" applyFont="1" applyBorder="1"/>
    <xf numFmtId="0" fontId="13" fillId="0" borderId="0" xfId="0" applyFont="1" applyAlignment="1">
      <alignment horizontal="center"/>
    </xf>
    <xf numFmtId="0" fontId="13" fillId="0" borderId="6" xfId="0" applyFont="1" applyBorder="1"/>
    <xf numFmtId="2" fontId="13" fillId="0" borderId="6" xfId="2" applyNumberFormat="1" applyFont="1" applyBorder="1"/>
    <xf numFmtId="10" fontId="13" fillId="0" borderId="6" xfId="2" applyNumberFormat="1" applyFont="1" applyBorder="1"/>
    <xf numFmtId="164" fontId="13" fillId="0" borderId="0" xfId="2" applyNumberFormat="1" applyFont="1" applyBorder="1"/>
    <xf numFmtId="44" fontId="9" fillId="4" borderId="8" xfId="2" applyFont="1" applyFill="1" applyBorder="1"/>
    <xf numFmtId="164" fontId="18" fillId="4" borderId="9" xfId="2" applyNumberFormat="1" applyFont="1" applyFill="1" applyBorder="1"/>
    <xf numFmtId="164" fontId="18" fillId="0" borderId="9" xfId="2" applyNumberFormat="1" applyFont="1" applyFill="1" applyBorder="1"/>
    <xf numFmtId="44" fontId="13" fillId="0" borderId="0" xfId="0" applyNumberFormat="1" applyFont="1" applyAlignment="1">
      <alignment vertical="center"/>
    </xf>
    <xf numFmtId="44" fontId="13" fillId="0" borderId="0" xfId="2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23" fillId="10" borderId="3" xfId="4" applyFont="1" applyFill="1" applyBorder="1" applyAlignment="1">
      <alignment horizontal="center"/>
    </xf>
    <xf numFmtId="0" fontId="23" fillId="10" borderId="4" xfId="4" applyFont="1" applyFill="1" applyBorder="1" applyAlignment="1">
      <alignment horizontal="center"/>
    </xf>
    <xf numFmtId="0" fontId="23" fillId="10" borderId="2" xfId="4" applyFont="1" applyFill="1" applyBorder="1" applyAlignment="1">
      <alignment horizontal="center"/>
    </xf>
    <xf numFmtId="0" fontId="23" fillId="10" borderId="0" xfId="4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44" fontId="9" fillId="0" borderId="0" xfId="0" applyNumberFormat="1" applyFont="1" applyAlignment="1">
      <alignment horizontal="center"/>
    </xf>
    <xf numFmtId="0" fontId="18" fillId="0" borderId="7" xfId="0" applyFont="1" applyBorder="1"/>
    <xf numFmtId="0" fontId="18" fillId="4" borderId="7" xfId="0" applyFont="1" applyFill="1" applyBorder="1" applyAlignment="1">
      <alignment horizontal="center"/>
    </xf>
    <xf numFmtId="0" fontId="21" fillId="11" borderId="11" xfId="0" applyFont="1" applyFill="1" applyBorder="1"/>
    <xf numFmtId="44" fontId="9" fillId="0" borderId="9" xfId="0" applyNumberFormat="1" applyFont="1" applyBorder="1" applyAlignment="1">
      <alignment horizontal="center"/>
    </xf>
    <xf numFmtId="44" fontId="3" fillId="0" borderId="0" xfId="2" applyFont="1" applyFill="1" applyBorder="1"/>
    <xf numFmtId="44" fontId="8" fillId="0" borderId="0" xfId="2" applyFont="1" applyBorder="1"/>
    <xf numFmtId="17" fontId="6" fillId="0" borderId="0" xfId="2" applyNumberFormat="1" applyFont="1" applyFill="1" applyBorder="1" applyAlignment="1">
      <alignment horizontal="center"/>
    </xf>
    <xf numFmtId="17" fontId="6" fillId="0" borderId="0" xfId="2" applyNumberFormat="1" applyFont="1" applyBorder="1" applyAlignment="1">
      <alignment horizontal="center"/>
    </xf>
    <xf numFmtId="0" fontId="5" fillId="4" borderId="5" xfId="0" applyFont="1" applyFill="1" applyBorder="1"/>
    <xf numFmtId="0" fontId="5" fillId="0" borderId="5" xfId="0" applyFont="1" applyBorder="1"/>
    <xf numFmtId="44" fontId="25" fillId="0" borderId="5" xfId="2" applyFont="1" applyFill="1" applyBorder="1"/>
    <xf numFmtId="44" fontId="7" fillId="0" borderId="0" xfId="2" applyFont="1" applyFill="1" applyBorder="1"/>
    <xf numFmtId="44" fontId="3" fillId="0" borderId="0" xfId="2" applyFont="1" applyFill="1" applyBorder="1" applyAlignment="1">
      <alignment horizontal="right"/>
    </xf>
    <xf numFmtId="44" fontId="5" fillId="0" borderId="0" xfId="2" applyFont="1" applyFill="1" applyBorder="1"/>
    <xf numFmtId="0" fontId="4" fillId="7" borderId="2" xfId="0" applyFont="1" applyFill="1" applyBorder="1"/>
    <xf numFmtId="44" fontId="5" fillId="7" borderId="10" xfId="2" applyFont="1" applyFill="1" applyBorder="1"/>
    <xf numFmtId="0" fontId="25" fillId="8" borderId="11" xfId="0" applyFont="1" applyFill="1" applyBorder="1" applyAlignment="1">
      <alignment horizontal="left" vertical="center"/>
    </xf>
    <xf numFmtId="44" fontId="27" fillId="8" borderId="1" xfId="2" applyFont="1" applyFill="1" applyBorder="1" applyAlignment="1">
      <alignment horizontal="right" vertical="center"/>
    </xf>
    <xf numFmtId="44" fontId="27" fillId="0" borderId="0" xfId="2" applyFont="1" applyFill="1" applyBorder="1" applyAlignment="1">
      <alignment horizontal="right" vertical="center"/>
    </xf>
    <xf numFmtId="44" fontId="27" fillId="8" borderId="0" xfId="2" applyFont="1" applyFill="1" applyBorder="1" applyAlignment="1">
      <alignment horizontal="right" vertical="center"/>
    </xf>
    <xf numFmtId="0" fontId="27" fillId="0" borderId="0" xfId="0" applyFont="1" applyAlignment="1">
      <alignment vertical="center"/>
    </xf>
    <xf numFmtId="44" fontId="27" fillId="0" borderId="0" xfId="2" applyFont="1" applyFill="1" applyBorder="1" applyAlignment="1">
      <alignment horizontal="right"/>
    </xf>
    <xf numFmtId="0" fontId="27" fillId="0" borderId="0" xfId="0" applyFont="1"/>
    <xf numFmtId="0" fontId="2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8" fillId="0" borderId="0" xfId="0" applyFont="1" applyAlignment="1">
      <alignment horizontal="left" vertical="center"/>
    </xf>
    <xf numFmtId="44" fontId="29" fillId="0" borderId="0" xfId="2" applyFont="1" applyFill="1" applyBorder="1" applyAlignment="1">
      <alignment horizontal="right" vertical="center"/>
    </xf>
    <xf numFmtId="44" fontId="3" fillId="15" borderId="14" xfId="2" applyFont="1" applyFill="1" applyBorder="1"/>
    <xf numFmtId="0" fontId="31" fillId="12" borderId="0" xfId="4" applyFont="1" applyFill="1"/>
    <xf numFmtId="44" fontId="31" fillId="12" borderId="0" xfId="4" applyNumberFormat="1" applyFont="1" applyFill="1"/>
    <xf numFmtId="44" fontId="31" fillId="12" borderId="0" xfId="4" applyNumberFormat="1" applyFont="1" applyFill="1" applyBorder="1"/>
    <xf numFmtId="0" fontId="25" fillId="9" borderId="11" xfId="0" applyFont="1" applyFill="1" applyBorder="1"/>
    <xf numFmtId="44" fontId="25" fillId="9" borderId="1" xfId="2" applyFont="1" applyFill="1" applyBorder="1"/>
    <xf numFmtId="0" fontId="12" fillId="0" borderId="5" xfId="0" applyFont="1" applyBorder="1"/>
    <xf numFmtId="44" fontId="9" fillId="0" borderId="0" xfId="2" applyFont="1" applyBorder="1" applyAlignment="1">
      <alignment vertical="center"/>
    </xf>
    <xf numFmtId="0" fontId="9" fillId="0" borderId="0" xfId="0" applyFont="1" applyAlignment="1">
      <alignment vertical="center"/>
    </xf>
    <xf numFmtId="44" fontId="10" fillId="0" borderId="0" xfId="2" applyFont="1" applyBorder="1" applyAlignment="1">
      <alignment vertical="center"/>
    </xf>
    <xf numFmtId="164" fontId="22" fillId="12" borderId="0" xfId="2" applyNumberFormat="1" applyFont="1" applyFill="1" applyBorder="1" applyAlignment="1">
      <alignment vertical="center"/>
    </xf>
    <xf numFmtId="164" fontId="22" fillId="17" borderId="0" xfId="2" applyNumberFormat="1" applyFont="1" applyFill="1" applyBorder="1" applyAlignment="1">
      <alignment vertical="center"/>
    </xf>
    <xf numFmtId="0" fontId="4" fillId="0" borderId="5" xfId="0" applyFont="1" applyBorder="1"/>
    <xf numFmtId="164" fontId="21" fillId="11" borderId="13" xfId="2" applyNumberFormat="1" applyFont="1" applyFill="1" applyBorder="1"/>
    <xf numFmtId="164" fontId="30" fillId="3" borderId="0" xfId="0" applyNumberFormat="1" applyFont="1" applyFill="1"/>
    <xf numFmtId="164" fontId="22" fillId="18" borderId="0" xfId="2" applyNumberFormat="1" applyFont="1" applyFill="1" applyBorder="1" applyAlignment="1">
      <alignment vertical="center"/>
    </xf>
    <xf numFmtId="0" fontId="12" fillId="0" borderId="0" xfId="0" applyFont="1"/>
    <xf numFmtId="44" fontId="12" fillId="0" borderId="0" xfId="2" applyFont="1" applyBorder="1"/>
    <xf numFmtId="164" fontId="12" fillId="4" borderId="6" xfId="2" applyNumberFormat="1" applyFont="1" applyFill="1" applyBorder="1"/>
    <xf numFmtId="0" fontId="0" fillId="0" borderId="0" xfId="0" applyAlignment="1">
      <alignment horizontal="center"/>
    </xf>
    <xf numFmtId="0" fontId="29" fillId="4" borderId="5" xfId="0" applyFont="1" applyFill="1" applyBorder="1"/>
    <xf numFmtId="0" fontId="29" fillId="0" borderId="5" xfId="0" applyFont="1" applyBorder="1"/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1" fillId="11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1" fillId="13" borderId="0" xfId="0" applyFont="1" applyFill="1" applyAlignment="1">
      <alignment vertical="center"/>
    </xf>
    <xf numFmtId="0" fontId="21" fillId="18" borderId="0" xfId="0" applyFont="1" applyFill="1" applyAlignment="1">
      <alignment vertical="center"/>
    </xf>
    <xf numFmtId="0" fontId="35" fillId="0" borderId="0" xfId="0" applyFont="1"/>
    <xf numFmtId="44" fontId="35" fillId="0" borderId="0" xfId="2" applyFont="1"/>
    <xf numFmtId="2" fontId="13" fillId="0" borderId="0" xfId="2" applyNumberFormat="1" applyFont="1" applyBorder="1"/>
    <xf numFmtId="10" fontId="13" fillId="0" borderId="0" xfId="2" applyNumberFormat="1" applyFont="1" applyBorder="1"/>
    <xf numFmtId="0" fontId="23" fillId="14" borderId="15" xfId="0" applyFont="1" applyFill="1" applyBorder="1"/>
    <xf numFmtId="0" fontId="20" fillId="14" borderId="16" xfId="0" applyFont="1" applyFill="1" applyBorder="1"/>
    <xf numFmtId="0" fontId="9" fillId="0" borderId="18" xfId="0" applyFont="1" applyBorder="1"/>
    <xf numFmtId="44" fontId="9" fillId="0" borderId="19" xfId="2" applyFont="1" applyBorder="1"/>
    <xf numFmtId="0" fontId="13" fillId="0" borderId="18" xfId="0" applyFont="1" applyBorder="1"/>
    <xf numFmtId="0" fontId="12" fillId="0" borderId="18" xfId="0" applyFont="1" applyBorder="1" applyAlignment="1">
      <alignment horizontal="center"/>
    </xf>
    <xf numFmtId="44" fontId="9" fillId="0" borderId="22" xfId="2" applyFont="1" applyBorder="1"/>
    <xf numFmtId="0" fontId="32" fillId="12" borderId="0" xfId="0" applyFont="1" applyFill="1" applyAlignment="1">
      <alignment vertical="center"/>
    </xf>
    <xf numFmtId="0" fontId="21" fillId="17" borderId="0" xfId="0" applyFont="1" applyFill="1" applyAlignment="1">
      <alignment vertical="center"/>
    </xf>
    <xf numFmtId="44" fontId="9" fillId="0" borderId="18" xfId="2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44" fontId="9" fillId="0" borderId="18" xfId="2" applyFont="1" applyBorder="1"/>
    <xf numFmtId="0" fontId="21" fillId="12" borderId="18" xfId="0" applyFont="1" applyFill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21" fillId="17" borderId="18" xfId="0" applyFont="1" applyFill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9" fillId="0" borderId="21" xfId="0" applyFont="1" applyBorder="1"/>
    <xf numFmtId="0" fontId="9" fillId="0" borderId="21" xfId="0" applyFont="1" applyBorder="1" applyAlignment="1">
      <alignment vertical="center"/>
    </xf>
    <xf numFmtId="44" fontId="9" fillId="0" borderId="21" xfId="2" applyFont="1" applyBorder="1"/>
    <xf numFmtId="164" fontId="21" fillId="11" borderId="12" xfId="2" applyNumberFormat="1" applyFont="1" applyFill="1" applyBorder="1"/>
    <xf numFmtId="0" fontId="14" fillId="0" borderId="6" xfId="0" applyFont="1" applyBorder="1" applyAlignment="1">
      <alignment horizontal="center"/>
    </xf>
    <xf numFmtId="9" fontId="13" fillId="7" borderId="0" xfId="3" applyFont="1" applyFill="1" applyBorder="1"/>
    <xf numFmtId="0" fontId="33" fillId="14" borderId="17" xfId="0" applyFont="1" applyFill="1" applyBorder="1" applyAlignment="1">
      <alignment horizontal="center"/>
    </xf>
    <xf numFmtId="0" fontId="9" fillId="0" borderId="19" xfId="0" applyFont="1" applyBorder="1"/>
    <xf numFmtId="164" fontId="12" fillId="0" borderId="19" xfId="2" applyNumberFormat="1" applyFont="1" applyFill="1" applyBorder="1"/>
    <xf numFmtId="0" fontId="23" fillId="14" borderId="23" xfId="0" applyFont="1" applyFill="1" applyBorder="1"/>
    <xf numFmtId="44" fontId="24" fillId="14" borderId="24" xfId="2" applyFont="1" applyFill="1" applyBorder="1"/>
    <xf numFmtId="0" fontId="20" fillId="14" borderId="25" xfId="0" applyFont="1" applyFill="1" applyBorder="1"/>
    <xf numFmtId="0" fontId="18" fillId="6" borderId="2" xfId="0" applyFont="1" applyFill="1" applyBorder="1" applyAlignment="1">
      <alignment horizontal="center"/>
    </xf>
    <xf numFmtId="0" fontId="18" fillId="6" borderId="3" xfId="0" applyFont="1" applyFill="1" applyBorder="1"/>
    <xf numFmtId="0" fontId="23" fillId="10" borderId="15" xfId="4" applyFont="1" applyFill="1" applyBorder="1" applyAlignment="1">
      <alignment horizontal="center"/>
    </xf>
    <xf numFmtId="0" fontId="23" fillId="10" borderId="16" xfId="4" applyFont="1" applyFill="1" applyBorder="1"/>
    <xf numFmtId="0" fontId="23" fillId="10" borderId="17" xfId="4" applyFont="1" applyFill="1" applyBorder="1"/>
    <xf numFmtId="0" fontId="21" fillId="11" borderId="26" xfId="0" applyFont="1" applyFill="1" applyBorder="1"/>
    <xf numFmtId="0" fontId="18" fillId="4" borderId="27" xfId="0" applyFont="1" applyFill="1" applyBorder="1" applyAlignment="1">
      <alignment horizontal="center"/>
    </xf>
    <xf numFmtId="0" fontId="18" fillId="4" borderId="28" xfId="0" applyFont="1" applyFill="1" applyBorder="1"/>
    <xf numFmtId="0" fontId="12" fillId="0" borderId="18" xfId="0" applyFont="1" applyBorder="1"/>
    <xf numFmtId="0" fontId="11" fillId="0" borderId="5" xfId="0" applyFont="1" applyBorder="1"/>
    <xf numFmtId="0" fontId="39" fillId="3" borderId="18" xfId="0" applyFont="1" applyFill="1" applyBorder="1"/>
    <xf numFmtId="0" fontId="11" fillId="0" borderId="5" xfId="0" applyFont="1" applyBorder="1" applyAlignment="1">
      <alignment horizontal="center"/>
    </xf>
    <xf numFmtId="44" fontId="12" fillId="0" borderId="0" xfId="0" applyNumberFormat="1" applyFont="1" applyAlignment="1">
      <alignment vertical="center"/>
    </xf>
    <xf numFmtId="44" fontId="12" fillId="6" borderId="0" xfId="2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44" fontId="12" fillId="0" borderId="0" xfId="2" applyFont="1" applyBorder="1" applyAlignment="1">
      <alignment vertical="center"/>
    </xf>
    <xf numFmtId="44" fontId="12" fillId="0" borderId="6" xfId="0" applyNumberFormat="1" applyFont="1" applyBorder="1" applyAlignment="1">
      <alignment vertical="center"/>
    </xf>
    <xf numFmtId="44" fontId="12" fillId="3" borderId="6" xfId="0" applyNumberFormat="1" applyFont="1" applyFill="1" applyBorder="1" applyAlignment="1">
      <alignment vertical="center"/>
    </xf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44" fontId="12" fillId="0" borderId="0" xfId="2" applyFont="1" applyBorder="1" applyAlignment="1">
      <alignment horizontal="center"/>
    </xf>
    <xf numFmtId="44" fontId="12" fillId="0" borderId="0" xfId="0" applyNumberFormat="1" applyFont="1" applyAlignment="1">
      <alignment horizontal="center"/>
    </xf>
    <xf numFmtId="44" fontId="12" fillId="3" borderId="6" xfId="0" applyNumberFormat="1" applyFont="1" applyFill="1" applyBorder="1" applyAlignment="1">
      <alignment horizontal="center"/>
    </xf>
    <xf numFmtId="44" fontId="12" fillId="0" borderId="0" xfId="0" applyNumberFormat="1" applyFont="1"/>
    <xf numFmtId="44" fontId="12" fillId="6" borderId="0" xfId="0" applyNumberFormat="1" applyFont="1" applyFill="1"/>
    <xf numFmtId="44" fontId="12" fillId="0" borderId="0" xfId="2" applyFont="1"/>
    <xf numFmtId="44" fontId="12" fillId="6" borderId="0" xfId="2" applyFont="1" applyFill="1" applyBorder="1"/>
    <xf numFmtId="164" fontId="12" fillId="6" borderId="19" xfId="2" applyNumberFormat="1" applyFont="1" applyFill="1" applyBorder="1"/>
    <xf numFmtId="164" fontId="12" fillId="0" borderId="19" xfId="2" applyNumberFormat="1" applyFont="1" applyBorder="1"/>
    <xf numFmtId="0" fontId="11" fillId="0" borderId="0" xfId="0" applyFont="1" applyAlignment="1">
      <alignment horizontal="center"/>
    </xf>
    <xf numFmtId="164" fontId="12" fillId="0" borderId="0" xfId="2" applyNumberFormat="1" applyFont="1" applyBorder="1"/>
    <xf numFmtId="0" fontId="12" fillId="0" borderId="19" xfId="0" applyFont="1" applyBorder="1"/>
    <xf numFmtId="44" fontId="12" fillId="4" borderId="6" xfId="2" applyFont="1" applyFill="1" applyBorder="1"/>
    <xf numFmtId="44" fontId="12" fillId="0" borderId="6" xfId="2" applyFont="1" applyBorder="1"/>
    <xf numFmtId="0" fontId="18" fillId="6" borderId="23" xfId="0" applyFont="1" applyFill="1" applyBorder="1" applyAlignment="1">
      <alignment horizontal="center"/>
    </xf>
    <xf numFmtId="0" fontId="18" fillId="6" borderId="24" xfId="0" applyFont="1" applyFill="1" applyBorder="1"/>
    <xf numFmtId="164" fontId="18" fillId="6" borderId="25" xfId="2" applyNumberFormat="1" applyFont="1" applyFill="1" applyBorder="1"/>
    <xf numFmtId="164" fontId="22" fillId="11" borderId="19" xfId="2" applyNumberFormat="1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164" fontId="22" fillId="13" borderId="19" xfId="2" applyNumberFormat="1" applyFont="1" applyFill="1" applyBorder="1" applyAlignment="1">
      <alignment vertical="center"/>
    </xf>
    <xf numFmtId="164" fontId="22" fillId="18" borderId="19" xfId="2" applyNumberFormat="1" applyFont="1" applyFill="1" applyBorder="1" applyAlignment="1">
      <alignment vertical="center"/>
    </xf>
    <xf numFmtId="2" fontId="22" fillId="19" borderId="19" xfId="2" applyNumberFormat="1" applyFont="1" applyFill="1" applyBorder="1" applyAlignment="1">
      <alignment vertical="center"/>
    </xf>
    <xf numFmtId="0" fontId="37" fillId="13" borderId="0" xfId="0" applyFont="1" applyFill="1" applyAlignment="1">
      <alignment vertical="center"/>
    </xf>
    <xf numFmtId="164" fontId="41" fillId="13" borderId="19" xfId="2" applyNumberFormat="1" applyFont="1" applyFill="1" applyBorder="1" applyAlignment="1">
      <alignment vertical="center"/>
    </xf>
    <xf numFmtId="0" fontId="37" fillId="12" borderId="23" xfId="0" applyFont="1" applyFill="1" applyBorder="1" applyAlignment="1">
      <alignment vertical="center"/>
    </xf>
    <xf numFmtId="0" fontId="37" fillId="12" borderId="24" xfId="0" applyFont="1" applyFill="1" applyBorder="1" applyAlignment="1">
      <alignment vertical="center"/>
    </xf>
    <xf numFmtId="164" fontId="37" fillId="12" borderId="24" xfId="2" applyNumberFormat="1" applyFont="1" applyFill="1" applyBorder="1" applyAlignment="1">
      <alignment vertical="center"/>
    </xf>
    <xf numFmtId="0" fontId="37" fillId="12" borderId="25" xfId="0" applyFont="1" applyFill="1" applyBorder="1" applyAlignment="1">
      <alignment vertical="center"/>
    </xf>
    <xf numFmtId="44" fontId="42" fillId="0" borderId="0" xfId="2" applyFont="1" applyBorder="1"/>
    <xf numFmtId="0" fontId="37" fillId="11" borderId="23" xfId="0" applyFont="1" applyFill="1" applyBorder="1" applyAlignment="1">
      <alignment vertical="center"/>
    </xf>
    <xf numFmtId="0" fontId="37" fillId="11" borderId="24" xfId="0" applyFont="1" applyFill="1" applyBorder="1" applyAlignment="1">
      <alignment vertical="center"/>
    </xf>
    <xf numFmtId="164" fontId="41" fillId="11" borderId="25" xfId="2" applyNumberFormat="1" applyFont="1" applyFill="1" applyBorder="1" applyAlignment="1">
      <alignment vertical="center"/>
    </xf>
    <xf numFmtId="0" fontId="9" fillId="20" borderId="0" xfId="0" applyFont="1" applyFill="1"/>
    <xf numFmtId="44" fontId="9" fillId="20" borderId="0" xfId="2" applyFont="1" applyFill="1"/>
    <xf numFmtId="0" fontId="0" fillId="20" borderId="0" xfId="0" applyFill="1" applyAlignment="1">
      <alignment horizontal="center"/>
    </xf>
    <xf numFmtId="0" fontId="16" fillId="20" borderId="0" xfId="0" applyFont="1" applyFill="1"/>
    <xf numFmtId="44" fontId="35" fillId="20" borderId="0" xfId="2" applyFont="1" applyFill="1" applyBorder="1"/>
    <xf numFmtId="164" fontId="9" fillId="20" borderId="0" xfId="0" applyNumberFormat="1" applyFont="1" applyFill="1"/>
    <xf numFmtId="0" fontId="36" fillId="20" borderId="15" xfId="0" applyFont="1" applyFill="1" applyBorder="1"/>
    <xf numFmtId="0" fontId="35" fillId="20" borderId="18" xfId="0" applyFont="1" applyFill="1" applyBorder="1"/>
    <xf numFmtId="164" fontId="35" fillId="20" borderId="19" xfId="2" applyNumberFormat="1" applyFont="1" applyFill="1" applyBorder="1"/>
    <xf numFmtId="0" fontId="35" fillId="20" borderId="20" xfId="0" applyFont="1" applyFill="1" applyBorder="1"/>
    <xf numFmtId="0" fontId="35" fillId="20" borderId="0" xfId="0" applyFont="1" applyFill="1"/>
    <xf numFmtId="164" fontId="35" fillId="20" borderId="0" xfId="2" applyNumberFormat="1" applyFont="1" applyFill="1" applyBorder="1"/>
    <xf numFmtId="164" fontId="35" fillId="20" borderId="17" xfId="2" applyNumberFormat="1" applyFont="1" applyFill="1" applyBorder="1"/>
    <xf numFmtId="43" fontId="9" fillId="20" borderId="0" xfId="1" applyFont="1" applyFill="1" applyBorder="1"/>
    <xf numFmtId="164" fontId="9" fillId="20" borderId="0" xfId="2" applyNumberFormat="1" applyFont="1" applyFill="1"/>
    <xf numFmtId="44" fontId="35" fillId="20" borderId="18" xfId="2" applyFont="1" applyFill="1" applyBorder="1"/>
    <xf numFmtId="44" fontId="35" fillId="20" borderId="20" xfId="2" applyFont="1" applyFill="1" applyBorder="1"/>
    <xf numFmtId="44" fontId="35" fillId="20" borderId="22" xfId="2" applyFont="1" applyFill="1" applyBorder="1"/>
    <xf numFmtId="164" fontId="35" fillId="5" borderId="19" xfId="2" applyNumberFormat="1" applyFont="1" applyFill="1" applyBorder="1"/>
    <xf numFmtId="164" fontId="35" fillId="5" borderId="22" xfId="2" applyNumberFormat="1" applyFont="1" applyFill="1" applyBorder="1"/>
    <xf numFmtId="10" fontId="35" fillId="5" borderId="19" xfId="3" applyNumberFormat="1" applyFont="1" applyFill="1" applyBorder="1"/>
    <xf numFmtId="0" fontId="19" fillId="0" borderId="18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19" xfId="0" applyFont="1" applyBorder="1" applyAlignment="1">
      <alignment vertical="center"/>
    </xf>
    <xf numFmtId="44" fontId="22" fillId="0" borderId="19" xfId="2" applyFont="1" applyFill="1" applyBorder="1" applyAlignment="1">
      <alignment vertical="center"/>
    </xf>
    <xf numFmtId="0" fontId="21" fillId="21" borderId="0" xfId="0" applyFont="1" applyFill="1" applyAlignment="1">
      <alignment vertical="center"/>
    </xf>
    <xf numFmtId="164" fontId="22" fillId="21" borderId="19" xfId="2" applyNumberFormat="1" applyFont="1" applyFill="1" applyBorder="1" applyAlignment="1">
      <alignment vertical="center"/>
    </xf>
    <xf numFmtId="0" fontId="21" fillId="18" borderId="18" xfId="0" applyFont="1" applyFill="1" applyBorder="1" applyAlignment="1">
      <alignment vertical="center"/>
    </xf>
    <xf numFmtId="0" fontId="22" fillId="18" borderId="18" xfId="0" applyFont="1" applyFill="1" applyBorder="1"/>
    <xf numFmtId="0" fontId="22" fillId="18" borderId="0" xfId="0" applyFont="1" applyFill="1"/>
    <xf numFmtId="164" fontId="22" fillId="18" borderId="0" xfId="0" applyNumberFormat="1" applyFont="1" applyFill="1" applyAlignment="1">
      <alignment vertical="center"/>
    </xf>
    <xf numFmtId="164" fontId="22" fillId="18" borderId="18" xfId="0" applyNumberFormat="1" applyFont="1" applyFill="1" applyBorder="1" applyAlignment="1">
      <alignment vertical="center"/>
    </xf>
    <xf numFmtId="9" fontId="22" fillId="18" borderId="0" xfId="3" applyFont="1" applyFill="1" applyBorder="1" applyAlignment="1">
      <alignment vertical="center"/>
    </xf>
    <xf numFmtId="0" fontId="22" fillId="18" borderId="0" xfId="0" applyFont="1" applyFill="1" applyAlignment="1">
      <alignment vertical="center"/>
    </xf>
    <xf numFmtId="0" fontId="34" fillId="11" borderId="15" xfId="0" applyFont="1" applyFill="1" applyBorder="1"/>
    <xf numFmtId="44" fontId="34" fillId="11" borderId="17" xfId="2" applyFont="1" applyFill="1" applyBorder="1" applyAlignment="1">
      <alignment horizontal="center"/>
    </xf>
    <xf numFmtId="164" fontId="40" fillId="11" borderId="17" xfId="2" applyNumberFormat="1" applyFont="1" applyFill="1" applyBorder="1"/>
    <xf numFmtId="164" fontId="18" fillId="6" borderId="4" xfId="2" applyNumberFormat="1" applyFont="1" applyFill="1" applyBorder="1"/>
    <xf numFmtId="164" fontId="18" fillId="4" borderId="29" xfId="2" applyNumberFormat="1" applyFont="1" applyFill="1" applyBorder="1"/>
    <xf numFmtId="165" fontId="35" fillId="0" borderId="0" xfId="0" applyNumberFormat="1" applyFont="1"/>
    <xf numFmtId="164" fontId="35" fillId="0" borderId="0" xfId="0" applyNumberFormat="1" applyFont="1"/>
    <xf numFmtId="9" fontId="35" fillId="0" borderId="0" xfId="0" applyNumberFormat="1" applyFo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164" fontId="16" fillId="0" borderId="0" xfId="2" applyNumberFormat="1" applyFont="1" applyAlignment="1">
      <alignment horizontal="center"/>
    </xf>
    <xf numFmtId="0" fontId="19" fillId="0" borderId="0" xfId="0" applyFont="1"/>
    <xf numFmtId="44" fontId="19" fillId="0" borderId="0" xfId="2" applyFont="1"/>
    <xf numFmtId="0" fontId="43" fillId="0" borderId="0" xfId="0" applyFont="1"/>
    <xf numFmtId="164" fontId="15" fillId="0" borderId="0" xfId="0" applyNumberFormat="1" applyFont="1" applyAlignment="1">
      <alignment horizontal="left"/>
    </xf>
    <xf numFmtId="9" fontId="16" fillId="0" borderId="0" xfId="3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5" fontId="9" fillId="20" borderId="0" xfId="0" applyNumberFormat="1" applyFont="1" applyFill="1"/>
    <xf numFmtId="44" fontId="9" fillId="0" borderId="19" xfId="0" applyNumberFormat="1" applyFont="1" applyBorder="1" applyAlignment="1">
      <alignment vertical="center"/>
    </xf>
    <xf numFmtId="44" fontId="9" fillId="0" borderId="19" xfId="0" applyNumberFormat="1" applyFont="1" applyBorder="1"/>
    <xf numFmtId="164" fontId="15" fillId="0" borderId="0" xfId="0" applyNumberFormat="1" applyFont="1" applyAlignment="1">
      <alignment horizontal="center"/>
    </xf>
    <xf numFmtId="8" fontId="44" fillId="0" borderId="0" xfId="0" applyNumberFormat="1" applyFont="1"/>
    <xf numFmtId="10" fontId="44" fillId="0" borderId="0" xfId="0" applyNumberFormat="1" applyFont="1"/>
    <xf numFmtId="164" fontId="44" fillId="0" borderId="0" xfId="2" applyNumberFormat="1" applyFont="1"/>
    <xf numFmtId="8" fontId="45" fillId="0" borderId="0" xfId="0" applyNumberFormat="1" applyFont="1"/>
    <xf numFmtId="0" fontId="10" fillId="0" borderId="0" xfId="0" applyFont="1"/>
    <xf numFmtId="44" fontId="44" fillId="0" borderId="0" xfId="2" applyFont="1"/>
    <xf numFmtId="0" fontId="44" fillId="0" borderId="0" xfId="0" applyFont="1" applyAlignment="1">
      <alignment vertical="center"/>
    </xf>
    <xf numFmtId="44" fontId="45" fillId="0" borderId="0" xfId="2" applyFont="1"/>
    <xf numFmtId="164" fontId="44" fillId="0" borderId="0" xfId="2" applyNumberFormat="1" applyFont="1" applyAlignment="1">
      <alignment vertical="center"/>
    </xf>
    <xf numFmtId="164" fontId="45" fillId="0" borderId="0" xfId="2" applyNumberFormat="1" applyFont="1" applyAlignment="1">
      <alignment vertical="center"/>
    </xf>
    <xf numFmtId="0" fontId="45" fillId="0" borderId="0" xfId="0" applyFont="1" applyAlignment="1">
      <alignment vertical="center"/>
    </xf>
    <xf numFmtId="164" fontId="44" fillId="0" borderId="0" xfId="0" applyNumberFormat="1" applyFont="1" applyAlignment="1">
      <alignment vertical="center"/>
    </xf>
    <xf numFmtId="44" fontId="45" fillId="3" borderId="0" xfId="2" applyFont="1" applyFill="1"/>
    <xf numFmtId="44" fontId="44" fillId="3" borderId="0" xfId="2" applyFont="1" applyFill="1"/>
    <xf numFmtId="164" fontId="44" fillId="3" borderId="0" xfId="2" applyNumberFormat="1" applyFont="1" applyFill="1" applyAlignment="1">
      <alignment vertical="center"/>
    </xf>
    <xf numFmtId="44" fontId="45" fillId="22" borderId="0" xfId="2" applyFont="1" applyFill="1"/>
    <xf numFmtId="44" fontId="44" fillId="22" borderId="0" xfId="2" applyFont="1" applyFill="1"/>
    <xf numFmtId="164" fontId="44" fillId="22" borderId="0" xfId="2" applyNumberFormat="1" applyFont="1" applyFill="1" applyAlignment="1">
      <alignment vertical="center"/>
    </xf>
    <xf numFmtId="44" fontId="45" fillId="23" borderId="0" xfId="2" applyFont="1" applyFill="1"/>
    <xf numFmtId="44" fontId="44" fillId="23" borderId="0" xfId="2" applyFont="1" applyFill="1"/>
    <xf numFmtId="164" fontId="44" fillId="23" borderId="0" xfId="2" applyNumberFormat="1" applyFont="1" applyFill="1" applyAlignment="1">
      <alignment vertical="center"/>
    </xf>
    <xf numFmtId="44" fontId="46" fillId="24" borderId="0" xfId="2" applyFont="1" applyFill="1"/>
    <xf numFmtId="44" fontId="47" fillId="24" borderId="0" xfId="2" applyFont="1" applyFill="1"/>
    <xf numFmtId="164" fontId="47" fillId="24" borderId="0" xfId="2" applyNumberFormat="1" applyFont="1" applyFill="1" applyAlignment="1">
      <alignment vertical="center"/>
    </xf>
    <xf numFmtId="44" fontId="44" fillId="12" borderId="0" xfId="2" applyFont="1" applyFill="1"/>
    <xf numFmtId="9" fontId="12" fillId="7" borderId="0" xfId="3" applyFont="1" applyFill="1" applyBorder="1"/>
    <xf numFmtId="164" fontId="9" fillId="0" borderId="0" xfId="0" applyNumberFormat="1" applyFont="1"/>
    <xf numFmtId="44" fontId="9" fillId="0" borderId="0" xfId="0" applyNumberFormat="1" applyFont="1"/>
    <xf numFmtId="44" fontId="36" fillId="0" borderId="0" xfId="2" applyFont="1"/>
    <xf numFmtId="0" fontId="36" fillId="0" borderId="0" xfId="0" applyFont="1"/>
    <xf numFmtId="0" fontId="19" fillId="0" borderId="5" xfId="0" applyFont="1" applyBorder="1"/>
    <xf numFmtId="44" fontId="19" fillId="0" borderId="0" xfId="0" applyNumberFormat="1" applyFont="1"/>
    <xf numFmtId="44" fontId="19" fillId="6" borderId="0" xfId="0" applyNumberFormat="1" applyFont="1" applyFill="1"/>
    <xf numFmtId="44" fontId="19" fillId="6" borderId="0" xfId="2" applyFont="1" applyFill="1" applyBorder="1"/>
    <xf numFmtId="0" fontId="21" fillId="10" borderId="2" xfId="4" applyFont="1" applyFill="1" applyBorder="1"/>
    <xf numFmtId="0" fontId="21" fillId="10" borderId="3" xfId="4" applyFont="1" applyFill="1" applyBorder="1" applyAlignment="1">
      <alignment horizontal="center"/>
    </xf>
    <xf numFmtId="0" fontId="21" fillId="10" borderId="4" xfId="4" applyFont="1" applyFill="1" applyBorder="1" applyAlignment="1">
      <alignment horizontal="center"/>
    </xf>
    <xf numFmtId="44" fontId="19" fillId="0" borderId="0" xfId="0" applyNumberFormat="1" applyFont="1" applyAlignment="1">
      <alignment vertical="center"/>
    </xf>
    <xf numFmtId="0" fontId="21" fillId="10" borderId="2" xfId="4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4" fontId="19" fillId="0" borderId="0" xfId="2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44" fontId="19" fillId="6" borderId="0" xfId="2" applyFont="1" applyFill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0" xfId="0" applyFont="1" applyAlignment="1">
      <alignment vertical="center"/>
    </xf>
    <xf numFmtId="44" fontId="19" fillId="0" borderId="0" xfId="2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44" fontId="19" fillId="0" borderId="6" xfId="0" applyNumberFormat="1" applyFont="1" applyBorder="1" applyAlignment="1">
      <alignment vertical="center"/>
    </xf>
    <xf numFmtId="44" fontId="19" fillId="0" borderId="0" xfId="2" applyFont="1" applyBorder="1"/>
    <xf numFmtId="0" fontId="19" fillId="0" borderId="6" xfId="0" applyFont="1" applyBorder="1"/>
    <xf numFmtId="44" fontId="19" fillId="3" borderId="6" xfId="0" applyNumberFormat="1" applyFont="1" applyFill="1" applyBorder="1" applyAlignment="1">
      <alignment vertical="center"/>
    </xf>
    <xf numFmtId="0" fontId="18" fillId="0" borderId="6" xfId="0" applyFont="1" applyBorder="1" applyAlignment="1">
      <alignment horizontal="center"/>
    </xf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9" fontId="19" fillId="7" borderId="0" xfId="3" applyFont="1" applyFill="1" applyBorder="1"/>
    <xf numFmtId="44" fontId="19" fillId="0" borderId="0" xfId="0" applyNumberFormat="1" applyFont="1" applyAlignment="1">
      <alignment horizontal="center"/>
    </xf>
    <xf numFmtId="44" fontId="19" fillId="3" borderId="6" xfId="0" applyNumberFormat="1" applyFont="1" applyFill="1" applyBorder="1" applyAlignment="1">
      <alignment horizontal="center"/>
    </xf>
    <xf numFmtId="0" fontId="21" fillId="0" borderId="7" xfId="0" applyFont="1" applyBorder="1"/>
    <xf numFmtId="0" fontId="22" fillId="0" borderId="8" xfId="0" applyFont="1" applyBorder="1"/>
    <xf numFmtId="44" fontId="22" fillId="0" borderId="8" xfId="2" applyFont="1" applyBorder="1"/>
    <xf numFmtId="44" fontId="19" fillId="0" borderId="9" xfId="0" applyNumberFormat="1" applyFont="1" applyBorder="1" applyAlignment="1">
      <alignment horizontal="center"/>
    </xf>
    <xf numFmtId="0" fontId="21" fillId="10" borderId="5" xfId="4" applyFont="1" applyFill="1" applyBorder="1"/>
    <xf numFmtId="0" fontId="21" fillId="10" borderId="0" xfId="4" applyFont="1" applyFill="1" applyBorder="1" applyAlignment="1">
      <alignment horizontal="center"/>
    </xf>
    <xf numFmtId="2" fontId="19" fillId="0" borderId="0" xfId="2" applyNumberFormat="1" applyFont="1" applyBorder="1"/>
    <xf numFmtId="0" fontId="21" fillId="10" borderId="15" xfId="4" applyFont="1" applyFill="1" applyBorder="1" applyAlignment="1">
      <alignment horizontal="center"/>
    </xf>
    <xf numFmtId="0" fontId="21" fillId="10" borderId="16" xfId="4" applyFont="1" applyFill="1" applyBorder="1"/>
    <xf numFmtId="0" fontId="21" fillId="10" borderId="17" xfId="4" applyFont="1" applyFill="1" applyBorder="1"/>
    <xf numFmtId="0" fontId="19" fillId="0" borderId="18" xfId="0" applyFont="1" applyBorder="1"/>
    <xf numFmtId="0" fontId="19" fillId="0" borderId="19" xfId="0" applyFont="1" applyBorder="1"/>
    <xf numFmtId="2" fontId="19" fillId="0" borderId="6" xfId="2" applyNumberFormat="1" applyFont="1" applyBorder="1"/>
    <xf numFmtId="10" fontId="19" fillId="0" borderId="6" xfId="2" applyNumberFormat="1" applyFont="1" applyBorder="1"/>
    <xf numFmtId="10" fontId="19" fillId="0" borderId="0" xfId="2" applyNumberFormat="1" applyFont="1" applyBorder="1"/>
    <xf numFmtId="0" fontId="48" fillId="3" borderId="18" xfId="0" applyFont="1" applyFill="1" applyBorder="1"/>
    <xf numFmtId="164" fontId="49" fillId="3" borderId="0" xfId="0" applyNumberFormat="1" applyFont="1" applyFill="1"/>
    <xf numFmtId="0" fontId="19" fillId="0" borderId="7" xfId="0" applyFont="1" applyBorder="1"/>
    <xf numFmtId="0" fontId="19" fillId="0" borderId="8" xfId="0" applyFont="1" applyBorder="1"/>
    <xf numFmtId="44" fontId="19" fillId="0" borderId="8" xfId="2" applyFont="1" applyFill="1" applyBorder="1"/>
    <xf numFmtId="0" fontId="19" fillId="0" borderId="9" xfId="0" applyFont="1" applyBorder="1"/>
    <xf numFmtId="0" fontId="21" fillId="14" borderId="15" xfId="0" applyFont="1" applyFill="1" applyBorder="1"/>
    <xf numFmtId="0" fontId="21" fillId="14" borderId="16" xfId="0" applyFont="1" applyFill="1" applyBorder="1"/>
    <xf numFmtId="0" fontId="21" fillId="14" borderId="17" xfId="0" applyFont="1" applyFill="1" applyBorder="1" applyAlignment="1">
      <alignment horizontal="center"/>
    </xf>
    <xf numFmtId="0" fontId="21" fillId="14" borderId="23" xfId="0" applyFont="1" applyFill="1" applyBorder="1"/>
    <xf numFmtId="44" fontId="22" fillId="14" borderId="24" xfId="2" applyFont="1" applyFill="1" applyBorder="1"/>
    <xf numFmtId="0" fontId="21" fillId="14" borderId="25" xfId="0" applyFont="1" applyFill="1" applyBorder="1"/>
    <xf numFmtId="164" fontId="19" fillId="6" borderId="19" xfId="2" applyNumberFormat="1" applyFont="1" applyFill="1" applyBorder="1"/>
    <xf numFmtId="164" fontId="19" fillId="4" borderId="6" xfId="2" applyNumberFormat="1" applyFont="1" applyFill="1" applyBorder="1"/>
    <xf numFmtId="164" fontId="19" fillId="0" borderId="19" xfId="2" applyNumberFormat="1" applyFont="1" applyBorder="1"/>
    <xf numFmtId="44" fontId="19" fillId="4" borderId="6" xfId="2" applyFont="1" applyFill="1" applyBorder="1"/>
    <xf numFmtId="44" fontId="19" fillId="0" borderId="6" xfId="2" applyFont="1" applyBorder="1"/>
    <xf numFmtId="164" fontId="19" fillId="0" borderId="0" xfId="2" applyNumberFormat="1" applyFont="1" applyBorder="1"/>
    <xf numFmtId="164" fontId="19" fillId="0" borderId="19" xfId="2" applyNumberFormat="1" applyFont="1" applyFill="1" applyBorder="1"/>
    <xf numFmtId="44" fontId="19" fillId="4" borderId="8" xfId="2" applyFont="1" applyFill="1" applyBorder="1"/>
    <xf numFmtId="0" fontId="19" fillId="0" borderId="18" xfId="0" applyFont="1" applyBorder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44" fontId="35" fillId="0" borderId="0" xfId="2" applyFont="1" applyBorder="1" applyAlignment="1">
      <alignment vertical="center"/>
    </xf>
    <xf numFmtId="0" fontId="36" fillId="0" borderId="0" xfId="0" applyFont="1" applyAlignment="1">
      <alignment horizontal="center"/>
    </xf>
    <xf numFmtId="44" fontId="35" fillId="0" borderId="0" xfId="0" applyNumberFormat="1" applyFont="1"/>
    <xf numFmtId="0" fontId="35" fillId="0" borderId="0" xfId="0" applyFont="1" applyAlignment="1">
      <alignment vertical="center"/>
    </xf>
    <xf numFmtId="0" fontId="42" fillId="0" borderId="5" xfId="0" applyFont="1" applyBorder="1"/>
    <xf numFmtId="0" fontId="42" fillId="0" borderId="0" xfId="0" applyFont="1"/>
    <xf numFmtId="0" fontId="37" fillId="10" borderId="2" xfId="4" applyFont="1" applyFill="1" applyBorder="1"/>
    <xf numFmtId="0" fontId="37" fillId="10" borderId="3" xfId="4" applyFont="1" applyFill="1" applyBorder="1" applyAlignment="1">
      <alignment horizontal="center"/>
    </xf>
    <xf numFmtId="0" fontId="37" fillId="10" borderId="4" xfId="4" applyFont="1" applyFill="1" applyBorder="1" applyAlignment="1">
      <alignment horizontal="center"/>
    </xf>
    <xf numFmtId="44" fontId="42" fillId="0" borderId="0" xfId="0" applyNumberFormat="1" applyFont="1" applyAlignment="1">
      <alignment vertical="center"/>
    </xf>
    <xf numFmtId="0" fontId="37" fillId="10" borderId="2" xfId="4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44" fontId="42" fillId="0" borderId="0" xfId="2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37" fillId="11" borderId="11" xfId="0" applyFont="1" applyFill="1" applyBorder="1"/>
    <xf numFmtId="164" fontId="37" fillId="11" borderId="13" xfId="2" applyNumberFormat="1" applyFont="1" applyFill="1" applyBorder="1"/>
    <xf numFmtId="164" fontId="37" fillId="11" borderId="12" xfId="2" applyNumberFormat="1" applyFont="1" applyFill="1" applyBorder="1"/>
    <xf numFmtId="44" fontId="42" fillId="6" borderId="0" xfId="2" applyFont="1" applyFill="1" applyBorder="1" applyAlignment="1">
      <alignment vertical="center"/>
    </xf>
    <xf numFmtId="0" fontId="51" fillId="0" borderId="6" xfId="0" applyFont="1" applyBorder="1" applyAlignment="1">
      <alignment vertical="center"/>
    </xf>
    <xf numFmtId="0" fontId="51" fillId="0" borderId="0" xfId="0" applyFont="1" applyAlignment="1">
      <alignment vertical="center"/>
    </xf>
    <xf numFmtId="44" fontId="42" fillId="0" borderId="0" xfId="2" applyFont="1" applyBorder="1" applyAlignment="1">
      <alignment vertical="center"/>
    </xf>
    <xf numFmtId="0" fontId="42" fillId="0" borderId="6" xfId="0" applyFont="1" applyBorder="1" applyAlignment="1">
      <alignment vertical="center"/>
    </xf>
    <xf numFmtId="44" fontId="42" fillId="0" borderId="6" xfId="0" applyNumberFormat="1" applyFont="1" applyBorder="1" applyAlignment="1">
      <alignment vertical="center"/>
    </xf>
    <xf numFmtId="0" fontId="42" fillId="0" borderId="6" xfId="0" applyFont="1" applyBorder="1"/>
    <xf numFmtId="44" fontId="42" fillId="3" borderId="6" xfId="0" applyNumberFormat="1" applyFont="1" applyFill="1" applyBorder="1" applyAlignment="1">
      <alignment vertical="center"/>
    </xf>
    <xf numFmtId="0" fontId="51" fillId="0" borderId="6" xfId="0" applyFont="1" applyBorder="1" applyAlignment="1">
      <alignment horizontal="center"/>
    </xf>
    <xf numFmtId="0" fontId="51" fillId="0" borderId="5" xfId="0" applyFont="1" applyBorder="1"/>
    <xf numFmtId="0" fontId="51" fillId="0" borderId="5" xfId="0" applyFont="1" applyBorder="1" applyAlignment="1">
      <alignment horizontal="center"/>
    </xf>
    <xf numFmtId="0" fontId="51" fillId="0" borderId="0" xfId="0" applyFont="1" applyAlignment="1">
      <alignment horizontal="center"/>
    </xf>
    <xf numFmtId="9" fontId="42" fillId="7" borderId="0" xfId="3" applyFont="1" applyFill="1" applyBorder="1"/>
    <xf numFmtId="44" fontId="42" fillId="0" borderId="0" xfId="0" applyNumberFormat="1" applyFont="1" applyAlignment="1">
      <alignment horizontal="center"/>
    </xf>
    <xf numFmtId="44" fontId="42" fillId="3" borderId="6" xfId="0" applyNumberFormat="1" applyFont="1" applyFill="1" applyBorder="1" applyAlignment="1">
      <alignment horizontal="center"/>
    </xf>
    <xf numFmtId="0" fontId="37" fillId="0" borderId="7" xfId="0" applyFont="1" applyBorder="1"/>
    <xf numFmtId="0" fontId="41" fillId="0" borderId="8" xfId="0" applyFont="1" applyBorder="1"/>
    <xf numFmtId="44" fontId="41" fillId="0" borderId="8" xfId="2" applyFont="1" applyBorder="1"/>
    <xf numFmtId="44" fontId="42" fillId="0" borderId="9" xfId="0" applyNumberFormat="1" applyFont="1" applyBorder="1" applyAlignment="1">
      <alignment horizontal="center"/>
    </xf>
    <xf numFmtId="0" fontId="51" fillId="6" borderId="2" xfId="0" applyFont="1" applyFill="1" applyBorder="1" applyAlignment="1">
      <alignment horizontal="center"/>
    </xf>
    <xf numFmtId="0" fontId="51" fillId="6" borderId="3" xfId="0" applyFont="1" applyFill="1" applyBorder="1"/>
    <xf numFmtId="164" fontId="51" fillId="6" borderId="4" xfId="2" applyNumberFormat="1" applyFont="1" applyFill="1" applyBorder="1"/>
    <xf numFmtId="0" fontId="37" fillId="10" borderId="5" xfId="4" applyFont="1" applyFill="1" applyBorder="1"/>
    <xf numFmtId="0" fontId="37" fillId="10" borderId="0" xfId="4" applyFont="1" applyFill="1" applyBorder="1" applyAlignment="1">
      <alignment horizontal="center"/>
    </xf>
    <xf numFmtId="2" fontId="42" fillId="0" borderId="0" xfId="2" applyNumberFormat="1" applyFont="1" applyBorder="1"/>
    <xf numFmtId="0" fontId="37" fillId="10" borderId="15" xfId="4" applyFont="1" applyFill="1" applyBorder="1" applyAlignment="1">
      <alignment horizontal="center"/>
    </xf>
    <xf numFmtId="0" fontId="37" fillId="10" borderId="16" xfId="4" applyFont="1" applyFill="1" applyBorder="1"/>
    <xf numFmtId="0" fontId="37" fillId="10" borderId="17" xfId="4" applyFont="1" applyFill="1" applyBorder="1"/>
    <xf numFmtId="0" fontId="42" fillId="0" borderId="18" xfId="0" applyFont="1" applyBorder="1"/>
    <xf numFmtId="0" fontId="42" fillId="0" borderId="19" xfId="0" applyFont="1" applyBorder="1"/>
    <xf numFmtId="44" fontId="42" fillId="0" borderId="0" xfId="0" applyNumberFormat="1" applyFont="1"/>
    <xf numFmtId="44" fontId="42" fillId="6" borderId="0" xfId="0" applyNumberFormat="1" applyFont="1" applyFill="1"/>
    <xf numFmtId="2" fontId="42" fillId="0" borderId="6" xfId="2" applyNumberFormat="1" applyFont="1" applyBorder="1"/>
    <xf numFmtId="10" fontId="42" fillId="0" borderId="6" xfId="2" applyNumberFormat="1" applyFont="1" applyBorder="1"/>
    <xf numFmtId="10" fontId="42" fillId="0" borderId="0" xfId="2" applyNumberFormat="1" applyFont="1" applyBorder="1"/>
    <xf numFmtId="0" fontId="37" fillId="11" borderId="26" xfId="0" applyFont="1" applyFill="1" applyBorder="1"/>
    <xf numFmtId="0" fontId="52" fillId="3" borderId="18" xfId="0" applyFont="1" applyFill="1" applyBorder="1"/>
    <xf numFmtId="164" fontId="53" fillId="3" borderId="0" xfId="0" applyNumberFormat="1" applyFont="1" applyFill="1"/>
    <xf numFmtId="44" fontId="42" fillId="0" borderId="0" xfId="2" applyFont="1"/>
    <xf numFmtId="44" fontId="42" fillId="6" borderId="0" xfId="2" applyFont="1" applyFill="1" applyBorder="1"/>
    <xf numFmtId="0" fontId="42" fillId="0" borderId="7" xfId="0" applyFont="1" applyBorder="1"/>
    <xf numFmtId="0" fontId="42" fillId="0" borderId="8" xfId="0" applyFont="1" applyBorder="1"/>
    <xf numFmtId="44" fontId="42" fillId="0" borderId="8" xfId="2" applyFont="1" applyFill="1" applyBorder="1"/>
    <xf numFmtId="0" fontId="42" fillId="0" borderId="9" xfId="0" applyFont="1" applyBorder="1"/>
    <xf numFmtId="0" fontId="51" fillId="4" borderId="27" xfId="0" applyFont="1" applyFill="1" applyBorder="1" applyAlignment="1">
      <alignment horizontal="center"/>
    </xf>
    <xf numFmtId="0" fontId="51" fillId="4" borderId="28" xfId="0" applyFont="1" applyFill="1" applyBorder="1"/>
    <xf numFmtId="164" fontId="51" fillId="4" borderId="29" xfId="2" applyNumberFormat="1" applyFont="1" applyFill="1" applyBorder="1"/>
    <xf numFmtId="44" fontId="42" fillId="0" borderId="0" xfId="2" applyFont="1" applyFill="1" applyBorder="1"/>
    <xf numFmtId="0" fontId="51" fillId="0" borderId="0" xfId="0" applyFont="1"/>
    <xf numFmtId="0" fontId="37" fillId="14" borderId="15" xfId="0" applyFont="1" applyFill="1" applyBorder="1"/>
    <xf numFmtId="0" fontId="37" fillId="14" borderId="16" xfId="0" applyFont="1" applyFill="1" applyBorder="1"/>
    <xf numFmtId="0" fontId="37" fillId="14" borderId="17" xfId="0" applyFont="1" applyFill="1" applyBorder="1" applyAlignment="1">
      <alignment horizontal="center"/>
    </xf>
    <xf numFmtId="0" fontId="37" fillId="14" borderId="23" xfId="0" applyFont="1" applyFill="1" applyBorder="1"/>
    <xf numFmtId="44" fontId="41" fillId="14" borderId="24" xfId="2" applyFont="1" applyFill="1" applyBorder="1"/>
    <xf numFmtId="0" fontId="37" fillId="14" borderId="25" xfId="0" applyFont="1" applyFill="1" applyBorder="1"/>
    <xf numFmtId="164" fontId="42" fillId="6" borderId="19" xfId="2" applyNumberFormat="1" applyFont="1" applyFill="1" applyBorder="1"/>
    <xf numFmtId="164" fontId="42" fillId="4" borderId="6" xfId="2" applyNumberFormat="1" applyFont="1" applyFill="1" applyBorder="1"/>
    <xf numFmtId="164" fontId="42" fillId="0" borderId="19" xfId="2" applyNumberFormat="1" applyFont="1" applyBorder="1"/>
    <xf numFmtId="44" fontId="42" fillId="4" borderId="6" xfId="2" applyFont="1" applyFill="1" applyBorder="1"/>
    <xf numFmtId="44" fontId="42" fillId="0" borderId="6" xfId="2" applyFont="1" applyBorder="1"/>
    <xf numFmtId="164" fontId="42" fillId="0" borderId="0" xfId="2" applyNumberFormat="1" applyFont="1" applyBorder="1"/>
    <xf numFmtId="0" fontId="42" fillId="0" borderId="18" xfId="0" applyFont="1" applyBorder="1" applyAlignment="1">
      <alignment horizontal="center"/>
    </xf>
    <xf numFmtId="164" fontId="42" fillId="0" borderId="19" xfId="2" applyNumberFormat="1" applyFont="1" applyFill="1" applyBorder="1"/>
    <xf numFmtId="0" fontId="51" fillId="0" borderId="7" xfId="0" applyFont="1" applyBorder="1"/>
    <xf numFmtId="164" fontId="51" fillId="0" borderId="9" xfId="2" applyNumberFormat="1" applyFont="1" applyFill="1" applyBorder="1"/>
    <xf numFmtId="0" fontId="51" fillId="6" borderId="23" xfId="0" applyFont="1" applyFill="1" applyBorder="1" applyAlignment="1">
      <alignment horizontal="center"/>
    </xf>
    <xf numFmtId="0" fontId="51" fillId="6" borderId="24" xfId="0" applyFont="1" applyFill="1" applyBorder="1"/>
    <xf numFmtId="164" fontId="51" fillId="6" borderId="25" xfId="2" applyNumberFormat="1" applyFont="1" applyFill="1" applyBorder="1"/>
    <xf numFmtId="0" fontId="51" fillId="4" borderId="7" xfId="0" applyFont="1" applyFill="1" applyBorder="1" applyAlignment="1">
      <alignment horizontal="center"/>
    </xf>
    <xf numFmtId="44" fontId="42" fillId="4" borderId="8" xfId="2" applyFont="1" applyFill="1" applyBorder="1"/>
    <xf numFmtId="164" fontId="51" fillId="4" borderId="9" xfId="2" applyNumberFormat="1" applyFont="1" applyFill="1" applyBorder="1"/>
    <xf numFmtId="44" fontId="42" fillId="0" borderId="18" xfId="2" applyFont="1" applyBorder="1" applyAlignment="1">
      <alignment vertical="center"/>
    </xf>
    <xf numFmtId="44" fontId="42" fillId="0" borderId="19" xfId="2" applyFont="1" applyBorder="1"/>
    <xf numFmtId="0" fontId="51" fillId="0" borderId="18" xfId="0" applyFont="1" applyBorder="1" applyAlignment="1">
      <alignment vertical="center"/>
    </xf>
    <xf numFmtId="0" fontId="42" fillId="0" borderId="0" xfId="0" applyFont="1" applyAlignment="1">
      <alignment vertical="center"/>
    </xf>
    <xf numFmtId="44" fontId="42" fillId="0" borderId="18" xfId="2" applyFont="1" applyBorder="1"/>
    <xf numFmtId="44" fontId="51" fillId="0" borderId="0" xfId="2" applyFont="1" applyBorder="1" applyAlignment="1">
      <alignment vertical="center"/>
    </xf>
    <xf numFmtId="0" fontId="42" fillId="0" borderId="18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42" fillId="0" borderId="19" xfId="0" applyFont="1" applyBorder="1" applyAlignment="1">
      <alignment vertical="center"/>
    </xf>
    <xf numFmtId="0" fontId="37" fillId="12" borderId="18" xfId="0" applyFont="1" applyFill="1" applyBorder="1" applyAlignment="1">
      <alignment vertical="center"/>
    </xf>
    <xf numFmtId="0" fontId="37" fillId="12" borderId="0" xfId="0" applyFont="1" applyFill="1" applyAlignment="1">
      <alignment vertical="center"/>
    </xf>
    <xf numFmtId="164" fontId="41" fillId="12" borderId="0" xfId="2" applyNumberFormat="1" applyFont="1" applyFill="1" applyBorder="1" applyAlignment="1">
      <alignment vertical="center"/>
    </xf>
    <xf numFmtId="0" fontId="37" fillId="11" borderId="0" xfId="0" applyFont="1" applyFill="1" applyAlignment="1">
      <alignment vertical="center"/>
    </xf>
    <xf numFmtId="164" fontId="41" fillId="11" borderId="19" xfId="2" applyNumberFormat="1" applyFont="1" applyFill="1" applyBorder="1" applyAlignment="1">
      <alignment vertical="center"/>
    </xf>
    <xf numFmtId="0" fontId="37" fillId="18" borderId="18" xfId="0" applyFont="1" applyFill="1" applyBorder="1" applyAlignment="1">
      <alignment vertical="center"/>
    </xf>
    <xf numFmtId="0" fontId="37" fillId="18" borderId="0" xfId="0" applyFont="1" applyFill="1" applyAlignment="1">
      <alignment vertical="center"/>
    </xf>
    <xf numFmtId="164" fontId="41" fillId="18" borderId="0" xfId="2" applyNumberFormat="1" applyFont="1" applyFill="1" applyBorder="1" applyAlignment="1">
      <alignment vertical="center"/>
    </xf>
    <xf numFmtId="0" fontId="41" fillId="18" borderId="18" xfId="0" applyFont="1" applyFill="1" applyBorder="1"/>
    <xf numFmtId="0" fontId="41" fillId="18" borderId="0" xfId="0" applyFont="1" applyFill="1"/>
    <xf numFmtId="44" fontId="41" fillId="0" borderId="19" xfId="2" applyFont="1" applyFill="1" applyBorder="1" applyAlignment="1">
      <alignment vertical="center"/>
    </xf>
    <xf numFmtId="164" fontId="41" fillId="18" borderId="0" xfId="0" applyNumberFormat="1" applyFont="1" applyFill="1" applyAlignment="1">
      <alignment vertical="center"/>
    </xf>
    <xf numFmtId="164" fontId="41" fillId="18" borderId="18" xfId="0" applyNumberFormat="1" applyFont="1" applyFill="1" applyBorder="1" applyAlignment="1">
      <alignment vertical="center"/>
    </xf>
    <xf numFmtId="44" fontId="42" fillId="0" borderId="19" xfId="0" applyNumberFormat="1" applyFont="1" applyBorder="1" applyAlignment="1">
      <alignment vertical="center"/>
    </xf>
    <xf numFmtId="9" fontId="41" fillId="18" borderId="0" xfId="3" applyFont="1" applyFill="1" applyBorder="1" applyAlignment="1">
      <alignment vertical="center"/>
    </xf>
    <xf numFmtId="44" fontId="42" fillId="0" borderId="19" xfId="0" applyNumberFormat="1" applyFont="1" applyBorder="1"/>
    <xf numFmtId="0" fontId="41" fillId="18" borderId="0" xfId="0" applyFont="1" applyFill="1" applyAlignment="1">
      <alignment vertical="center"/>
    </xf>
    <xf numFmtId="0" fontId="37" fillId="21" borderId="0" xfId="0" applyFont="1" applyFill="1" applyAlignment="1">
      <alignment vertical="center"/>
    </xf>
    <xf numFmtId="0" fontId="38" fillId="21" borderId="0" xfId="0" applyFont="1" applyFill="1" applyAlignment="1">
      <alignment vertical="center"/>
    </xf>
    <xf numFmtId="164" fontId="41" fillId="21" borderId="19" xfId="2" applyNumberFormat="1" applyFont="1" applyFill="1" applyBorder="1" applyAlignment="1">
      <alignment vertical="center"/>
    </xf>
    <xf numFmtId="164" fontId="41" fillId="18" borderId="19" xfId="2" applyNumberFormat="1" applyFont="1" applyFill="1" applyBorder="1" applyAlignment="1">
      <alignment vertical="center"/>
    </xf>
    <xf numFmtId="0" fontId="37" fillId="17" borderId="18" xfId="0" applyFont="1" applyFill="1" applyBorder="1" applyAlignment="1">
      <alignment vertical="center"/>
    </xf>
    <xf numFmtId="0" fontId="37" fillId="17" borderId="0" xfId="0" applyFont="1" applyFill="1" applyAlignment="1">
      <alignment vertical="center"/>
    </xf>
    <xf numFmtId="164" fontId="41" fillId="17" borderId="0" xfId="2" applyNumberFormat="1" applyFont="1" applyFill="1" applyBorder="1" applyAlignment="1">
      <alignment vertical="center"/>
    </xf>
    <xf numFmtId="0" fontId="37" fillId="19" borderId="0" xfId="0" applyFont="1" applyFill="1" applyAlignment="1">
      <alignment vertical="center"/>
    </xf>
    <xf numFmtId="2" fontId="41" fillId="19" borderId="19" xfId="2" applyNumberFormat="1" applyFont="1" applyFill="1" applyBorder="1" applyAlignment="1">
      <alignment vertical="center"/>
    </xf>
    <xf numFmtId="0" fontId="51" fillId="0" borderId="20" xfId="0" applyFont="1" applyBorder="1" applyAlignment="1">
      <alignment vertical="center"/>
    </xf>
    <xf numFmtId="0" fontId="42" fillId="0" borderId="21" xfId="0" applyFont="1" applyBorder="1"/>
    <xf numFmtId="0" fontId="42" fillId="0" borderId="21" xfId="0" applyFont="1" applyBorder="1" applyAlignment="1">
      <alignment vertical="center"/>
    </xf>
    <xf numFmtId="44" fontId="42" fillId="0" borderId="21" xfId="2" applyFont="1" applyBorder="1"/>
    <xf numFmtId="44" fontId="42" fillId="0" borderId="22" xfId="2" applyFont="1" applyBorder="1"/>
    <xf numFmtId="0" fontId="54" fillId="0" borderId="0" xfId="0" applyFont="1" applyAlignment="1">
      <alignment horizontal="center"/>
    </xf>
    <xf numFmtId="0" fontId="54" fillId="0" borderId="0" xfId="0" applyFont="1"/>
    <xf numFmtId="164" fontId="54" fillId="0" borderId="0" xfId="2" applyNumberFormat="1" applyFont="1" applyFill="1" applyBorder="1"/>
    <xf numFmtId="44" fontId="55" fillId="0" borderId="0" xfId="2" applyFont="1" applyFill="1"/>
    <xf numFmtId="44" fontId="55" fillId="0" borderId="0" xfId="2" applyFont="1" applyFill="1" applyBorder="1"/>
    <xf numFmtId="0" fontId="52" fillId="0" borderId="18" xfId="0" applyFont="1" applyBorder="1"/>
    <xf numFmtId="164" fontId="53" fillId="0" borderId="0" xfId="0" applyNumberFormat="1" applyFont="1"/>
    <xf numFmtId="44" fontId="35" fillId="20" borderId="0" xfId="2" applyFont="1" applyFill="1"/>
    <xf numFmtId="0" fontId="50" fillId="20" borderId="0" xfId="0" applyFont="1" applyFill="1" applyAlignment="1">
      <alignment horizontal="center"/>
    </xf>
    <xf numFmtId="164" fontId="35" fillId="20" borderId="0" xfId="0" applyNumberFormat="1" applyFont="1" applyFill="1"/>
    <xf numFmtId="43" fontId="35" fillId="20" borderId="0" xfId="1" applyFont="1" applyFill="1" applyBorder="1"/>
    <xf numFmtId="164" fontId="35" fillId="20" borderId="0" xfId="2" applyNumberFormat="1" applyFont="1" applyFill="1"/>
    <xf numFmtId="164" fontId="35" fillId="0" borderId="0" xfId="2" applyNumberFormat="1" applyFont="1" applyAlignment="1">
      <alignment vertical="center"/>
    </xf>
    <xf numFmtId="44" fontId="36" fillId="3" borderId="0" xfId="2" applyFont="1" applyFill="1"/>
    <xf numFmtId="44" fontId="35" fillId="3" borderId="0" xfId="2" applyFont="1" applyFill="1"/>
    <xf numFmtId="164" fontId="35" fillId="3" borderId="0" xfId="2" applyNumberFormat="1" applyFont="1" applyFill="1" applyAlignment="1">
      <alignment vertical="center"/>
    </xf>
    <xf numFmtId="44" fontId="35" fillId="12" borderId="0" xfId="2" applyFont="1" applyFill="1"/>
    <xf numFmtId="164" fontId="35" fillId="0" borderId="0" xfId="0" applyNumberFormat="1" applyFont="1" applyAlignment="1">
      <alignment vertical="center"/>
    </xf>
    <xf numFmtId="164" fontId="36" fillId="0" borderId="0" xfId="2" applyNumberFormat="1" applyFont="1" applyAlignment="1">
      <alignment vertical="center"/>
    </xf>
    <xf numFmtId="44" fontId="36" fillId="22" borderId="0" xfId="2" applyFont="1" applyFill="1"/>
    <xf numFmtId="44" fontId="35" fillId="22" borderId="0" xfId="2" applyFont="1" applyFill="1"/>
    <xf numFmtId="164" fontId="35" fillId="22" borderId="0" xfId="2" applyNumberFormat="1" applyFont="1" applyFill="1" applyAlignment="1">
      <alignment vertical="center"/>
    </xf>
    <xf numFmtId="44" fontId="36" fillId="23" borderId="0" xfId="2" applyFont="1" applyFill="1"/>
    <xf numFmtId="44" fontId="35" fillId="23" borderId="0" xfId="2" applyFont="1" applyFill="1"/>
    <xf numFmtId="164" fontId="35" fillId="23" borderId="0" xfId="2" applyNumberFormat="1" applyFont="1" applyFill="1" applyAlignment="1">
      <alignment vertical="center"/>
    </xf>
    <xf numFmtId="44" fontId="34" fillId="24" borderId="0" xfId="2" applyFont="1" applyFill="1"/>
    <xf numFmtId="44" fontId="40" fillId="24" borderId="0" xfId="2" applyFont="1" applyFill="1"/>
    <xf numFmtId="164" fontId="40" fillId="24" borderId="0" xfId="2" applyNumberFormat="1" applyFont="1" applyFill="1" applyAlignment="1">
      <alignment vertical="center"/>
    </xf>
    <xf numFmtId="14" fontId="35" fillId="0" borderId="0" xfId="0" applyNumberFormat="1" applyFont="1" applyAlignment="1">
      <alignment horizontal="center"/>
    </xf>
    <xf numFmtId="164" fontId="35" fillId="0" borderId="0" xfId="0" applyNumberFormat="1" applyFont="1" applyAlignment="1">
      <alignment horizontal="center"/>
    </xf>
    <xf numFmtId="164" fontId="36" fillId="0" borderId="0" xfId="0" applyNumberFormat="1" applyFont="1" applyAlignment="1">
      <alignment horizontal="left"/>
    </xf>
    <xf numFmtId="9" fontId="35" fillId="0" borderId="0" xfId="3" applyFont="1" applyAlignment="1">
      <alignment horizontal="right" vertical="center"/>
    </xf>
    <xf numFmtId="164" fontId="35" fillId="0" borderId="0" xfId="0" applyNumberFormat="1" applyFont="1" applyAlignment="1">
      <alignment horizontal="right" vertical="center"/>
    </xf>
    <xf numFmtId="164" fontId="36" fillId="0" borderId="0" xfId="0" applyNumberFormat="1" applyFont="1" applyAlignment="1">
      <alignment horizontal="center"/>
    </xf>
    <xf numFmtId="14" fontId="36" fillId="0" borderId="0" xfId="0" applyNumberFormat="1" applyFont="1" applyAlignment="1">
      <alignment horizontal="center"/>
    </xf>
    <xf numFmtId="164" fontId="35" fillId="0" borderId="0" xfId="2" applyNumberFormat="1" applyFont="1" applyAlignment="1">
      <alignment horizontal="center"/>
    </xf>
    <xf numFmtId="0" fontId="38" fillId="0" borderId="0" xfId="0" applyFont="1" applyAlignment="1">
      <alignment horizontal="center"/>
    </xf>
    <xf numFmtId="43" fontId="42" fillId="0" borderId="0" xfId="1" applyFont="1" applyFill="1" applyBorder="1"/>
    <xf numFmtId="164" fontId="35" fillId="20" borderId="18" xfId="0" applyNumberFormat="1" applyFont="1" applyFill="1" applyBorder="1"/>
    <xf numFmtId="44" fontId="42" fillId="3" borderId="6" xfId="2" applyFont="1" applyFill="1" applyBorder="1" applyAlignment="1">
      <alignment horizontal="center"/>
    </xf>
    <xf numFmtId="44" fontId="4" fillId="7" borderId="10" xfId="2" applyFont="1" applyFill="1" applyBorder="1"/>
    <xf numFmtId="0" fontId="4" fillId="6" borderId="5" xfId="0" applyFont="1" applyFill="1" applyBorder="1"/>
    <xf numFmtId="44" fontId="56" fillId="6" borderId="14" xfId="2" applyFont="1" applyFill="1" applyBorder="1"/>
    <xf numFmtId="44" fontId="35" fillId="5" borderId="19" xfId="3" applyNumberFormat="1" applyFont="1" applyFill="1" applyBorder="1"/>
    <xf numFmtId="0" fontId="42" fillId="8" borderId="5" xfId="0" applyFont="1" applyFill="1" applyBorder="1"/>
    <xf numFmtId="44" fontId="42" fillId="25" borderId="9" xfId="0" applyNumberFormat="1" applyFont="1" applyFill="1" applyBorder="1" applyAlignment="1">
      <alignment horizontal="center"/>
    </xf>
    <xf numFmtId="44" fontId="41" fillId="16" borderId="8" xfId="2" applyFont="1" applyFill="1" applyBorder="1"/>
    <xf numFmtId="0" fontId="51" fillId="0" borderId="10" xfId="0" applyFont="1" applyBorder="1" applyAlignment="1">
      <alignment horizontal="center"/>
    </xf>
    <xf numFmtId="0" fontId="51" fillId="0" borderId="14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10" fontId="42" fillId="7" borderId="5" xfId="3" applyNumberFormat="1" applyFont="1" applyFill="1" applyBorder="1"/>
    <xf numFmtId="10" fontId="42" fillId="7" borderId="7" xfId="3" applyNumberFormat="1" applyFont="1" applyFill="1" applyBorder="1"/>
    <xf numFmtId="0" fontId="51" fillId="0" borderId="4" xfId="0" applyFont="1" applyBorder="1" applyAlignment="1">
      <alignment horizontal="center"/>
    </xf>
    <xf numFmtId="10" fontId="42" fillId="7" borderId="6" xfId="3" applyNumberFormat="1" applyFont="1" applyFill="1" applyBorder="1"/>
    <xf numFmtId="10" fontId="42" fillId="7" borderId="9" xfId="3" applyNumberFormat="1" applyFont="1" applyFill="1" applyBorder="1"/>
    <xf numFmtId="0" fontId="42" fillId="0" borderId="14" xfId="0" applyFont="1" applyBorder="1"/>
    <xf numFmtId="0" fontId="42" fillId="0" borderId="30" xfId="0" applyFont="1" applyBorder="1"/>
    <xf numFmtId="44" fontId="9" fillId="0" borderId="6" xfId="2" applyFont="1" applyBorder="1"/>
    <xf numFmtId="0" fontId="57" fillId="6" borderId="2" xfId="0" applyFont="1" applyFill="1" applyBorder="1" applyAlignment="1">
      <alignment horizontal="center"/>
    </xf>
    <xf numFmtId="0" fontId="57" fillId="6" borderId="3" xfId="0" applyFont="1" applyFill="1" applyBorder="1"/>
    <xf numFmtId="164" fontId="57" fillId="6" borderId="4" xfId="2" applyNumberFormat="1" applyFont="1" applyFill="1" applyBorder="1"/>
    <xf numFmtId="0" fontId="57" fillId="4" borderId="27" xfId="0" applyFont="1" applyFill="1" applyBorder="1" applyAlignment="1">
      <alignment horizontal="center"/>
    </xf>
    <xf numFmtId="0" fontId="57" fillId="4" borderId="28" xfId="0" applyFont="1" applyFill="1" applyBorder="1"/>
    <xf numFmtId="164" fontId="57" fillId="4" borderId="29" xfId="2" applyNumberFormat="1" applyFont="1" applyFill="1" applyBorder="1"/>
    <xf numFmtId="0" fontId="57" fillId="4" borderId="7" xfId="0" applyFont="1" applyFill="1" applyBorder="1" applyAlignment="1">
      <alignment horizontal="center"/>
    </xf>
    <xf numFmtId="44" fontId="58" fillId="4" borderId="8" xfId="2" applyFont="1" applyFill="1" applyBorder="1"/>
    <xf numFmtId="164" fontId="57" fillId="4" borderId="9" xfId="2" applyNumberFormat="1" applyFont="1" applyFill="1" applyBorder="1"/>
    <xf numFmtId="0" fontId="57" fillId="6" borderId="23" xfId="0" applyFont="1" applyFill="1" applyBorder="1" applyAlignment="1">
      <alignment horizontal="center"/>
    </xf>
    <xf numFmtId="0" fontId="57" fillId="6" borderId="24" xfId="0" applyFont="1" applyFill="1" applyBorder="1"/>
    <xf numFmtId="164" fontId="57" fillId="6" borderId="25" xfId="2" applyNumberFormat="1" applyFont="1" applyFill="1" applyBorder="1"/>
    <xf numFmtId="0" fontId="59" fillId="12" borderId="23" xfId="0" applyFont="1" applyFill="1" applyBorder="1" applyAlignment="1">
      <alignment vertical="center"/>
    </xf>
    <xf numFmtId="0" fontId="59" fillId="12" borderId="24" xfId="0" applyFont="1" applyFill="1" applyBorder="1" applyAlignment="1">
      <alignment vertical="center"/>
    </xf>
    <xf numFmtId="164" fontId="59" fillId="12" borderId="24" xfId="2" applyNumberFormat="1" applyFont="1" applyFill="1" applyBorder="1" applyAlignment="1">
      <alignment vertical="center"/>
    </xf>
    <xf numFmtId="165" fontId="41" fillId="18" borderId="0" xfId="0" applyNumberFormat="1" applyFont="1" applyFill="1" applyAlignment="1">
      <alignment vertical="center"/>
    </xf>
    <xf numFmtId="8" fontId="0" fillId="0" borderId="0" xfId="0" applyNumberFormat="1"/>
    <xf numFmtId="0" fontId="60" fillId="0" borderId="0" xfId="0" applyFont="1"/>
    <xf numFmtId="164" fontId="60" fillId="0" borderId="0" xfId="2" applyNumberFormat="1" applyFont="1" applyFill="1" applyBorder="1"/>
    <xf numFmtId="44" fontId="60" fillId="0" borderId="0" xfId="0" applyNumberFormat="1" applyFont="1"/>
    <xf numFmtId="0" fontId="45" fillId="0" borderId="0" xfId="0" applyFont="1"/>
    <xf numFmtId="165" fontId="54" fillId="0" borderId="0" xfId="0" applyNumberFormat="1" applyFont="1"/>
    <xf numFmtId="164" fontId="41" fillId="18" borderId="0" xfId="0" applyNumberFormat="1" applyFont="1" applyFill="1"/>
    <xf numFmtId="164" fontId="35" fillId="0" borderId="0" xfId="2" applyNumberFormat="1" applyFont="1"/>
    <xf numFmtId="0" fontId="45" fillId="0" borderId="2" xfId="0" applyFont="1" applyBorder="1"/>
    <xf numFmtId="164" fontId="35" fillId="0" borderId="3" xfId="2" applyNumberFormat="1" applyFont="1" applyBorder="1"/>
    <xf numFmtId="0" fontId="9" fillId="0" borderId="4" xfId="0" applyFont="1" applyBorder="1"/>
    <xf numFmtId="0" fontId="45" fillId="0" borderId="5" xfId="0" applyFont="1" applyBorder="1"/>
    <xf numFmtId="164" fontId="35" fillId="0" borderId="0" xfId="2" applyNumberFormat="1" applyFont="1" applyBorder="1"/>
    <xf numFmtId="164" fontId="35" fillId="0" borderId="6" xfId="2" applyNumberFormat="1" applyFont="1" applyBorder="1"/>
    <xf numFmtId="44" fontId="9" fillId="0" borderId="5" xfId="2" applyFont="1" applyBorder="1"/>
    <xf numFmtId="44" fontId="9" fillId="0" borderId="7" xfId="2" applyFont="1" applyBorder="1"/>
    <xf numFmtId="165" fontId="35" fillId="20" borderId="18" xfId="0" applyNumberFormat="1" applyFont="1" applyFill="1" applyBorder="1"/>
    <xf numFmtId="0" fontId="45" fillId="26" borderId="0" xfId="0" applyFont="1" applyFill="1"/>
    <xf numFmtId="0" fontId="61" fillId="0" borderId="5" xfId="0" applyFont="1" applyBorder="1"/>
    <xf numFmtId="0" fontId="35" fillId="0" borderId="0" xfId="2" applyNumberFormat="1" applyFont="1"/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4" fontId="62" fillId="0" borderId="0" xfId="0" applyNumberFormat="1" applyFont="1" applyAlignment="1">
      <alignment horizontal="center"/>
    </xf>
    <xf numFmtId="164" fontId="62" fillId="0" borderId="0" xfId="2" applyNumberFormat="1" applyFont="1" applyFill="1" applyAlignment="1">
      <alignment horizontal="center"/>
    </xf>
    <xf numFmtId="0" fontId="35" fillId="0" borderId="6" xfId="0" applyFont="1" applyBorder="1"/>
    <xf numFmtId="44" fontId="35" fillId="0" borderId="6" xfId="0" applyNumberFormat="1" applyFont="1" applyBorder="1"/>
    <xf numFmtId="0" fontId="35" fillId="0" borderId="4" xfId="0" applyFont="1" applyBorder="1"/>
    <xf numFmtId="0" fontId="35" fillId="0" borderId="8" xfId="0" applyFont="1" applyBorder="1"/>
    <xf numFmtId="0" fontId="35" fillId="0" borderId="9" xfId="0" applyFont="1" applyBorder="1"/>
    <xf numFmtId="8" fontId="42" fillId="6" borderId="0" xfId="0" applyNumberFormat="1" applyFont="1" applyFill="1"/>
    <xf numFmtId="44" fontId="3" fillId="0" borderId="0" xfId="0" applyNumberFormat="1" applyFont="1"/>
    <xf numFmtId="44" fontId="25" fillId="9" borderId="11" xfId="2" applyFont="1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6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7" fillId="13" borderId="2" xfId="0" applyFont="1" applyFill="1" applyBorder="1" applyAlignment="1">
      <alignment horizontal="center" vertical="center"/>
    </xf>
    <xf numFmtId="0" fontId="38" fillId="13" borderId="4" xfId="0" applyFont="1" applyFill="1" applyBorder="1" applyAlignment="1">
      <alignment horizontal="center" vertical="center"/>
    </xf>
    <xf numFmtId="0" fontId="21" fillId="1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1" fillId="21" borderId="0" xfId="0" applyFont="1" applyFill="1" applyAlignment="1">
      <alignment vertical="center"/>
    </xf>
    <xf numFmtId="0" fontId="0" fillId="21" borderId="0" xfId="0" applyFill="1" applyAlignment="1">
      <alignment vertical="center"/>
    </xf>
    <xf numFmtId="0" fontId="21" fillId="16" borderId="15" xfId="0" applyFont="1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/>
    </xf>
    <xf numFmtId="0" fontId="0" fillId="0" borderId="17" xfId="0" applyBorder="1"/>
    <xf numFmtId="0" fontId="17" fillId="11" borderId="23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7" fillId="10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7" fillId="19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7" fillId="10" borderId="23" xfId="0" applyFont="1" applyFill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4" fillId="13" borderId="2" xfId="0" applyFont="1" applyFill="1" applyBorder="1" applyAlignment="1">
      <alignment horizontal="center" vertical="center"/>
    </xf>
    <xf numFmtId="0" fontId="50" fillId="13" borderId="4" xfId="0" applyFont="1" applyFill="1" applyBorder="1" applyAlignment="1">
      <alignment horizontal="center" vertical="center"/>
    </xf>
    <xf numFmtId="0" fontId="37" fillId="11" borderId="23" xfId="0" applyFont="1" applyFill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8" fillId="0" borderId="25" xfId="0" applyFont="1" applyBorder="1" applyAlignment="1">
      <alignment horizontal="center"/>
    </xf>
    <xf numFmtId="0" fontId="37" fillId="16" borderId="15" xfId="0" applyFont="1" applyFill="1" applyBorder="1" applyAlignment="1">
      <alignment horizontal="center" vertical="center" wrapText="1"/>
    </xf>
    <xf numFmtId="0" fontId="38" fillId="16" borderId="16" xfId="0" applyFont="1" applyFill="1" applyBorder="1" applyAlignment="1">
      <alignment horizontal="center" vertical="center" wrapText="1"/>
    </xf>
    <xf numFmtId="0" fontId="38" fillId="16" borderId="16" xfId="0" applyFont="1" applyFill="1" applyBorder="1" applyAlignment="1">
      <alignment horizontal="center" vertical="center"/>
    </xf>
    <xf numFmtId="0" fontId="38" fillId="0" borderId="17" xfId="0" applyFont="1" applyBorder="1"/>
    <xf numFmtId="0" fontId="37" fillId="21" borderId="0" xfId="0" applyFont="1" applyFill="1" applyAlignment="1">
      <alignment vertical="center"/>
    </xf>
    <xf numFmtId="0" fontId="38" fillId="21" borderId="0" xfId="0" applyFont="1" applyFill="1" applyAlignment="1">
      <alignment vertical="center"/>
    </xf>
    <xf numFmtId="0" fontId="59" fillId="16" borderId="15" xfId="0" applyFont="1" applyFill="1" applyBorder="1" applyAlignment="1">
      <alignment horizontal="center" vertical="center" wrapText="1"/>
    </xf>
    <xf numFmtId="0" fontId="59" fillId="16" borderId="16" xfId="0" applyFont="1" applyFill="1" applyBorder="1" applyAlignment="1">
      <alignment horizontal="center" vertical="center" wrapText="1"/>
    </xf>
    <xf numFmtId="0" fontId="59" fillId="16" borderId="17" xfId="0" applyFont="1" applyFill="1" applyBorder="1" applyAlignment="1">
      <alignment horizontal="center" vertical="center" wrapText="1"/>
    </xf>
    <xf numFmtId="0" fontId="21" fillId="11" borderId="23" xfId="0" applyFont="1" applyFill="1" applyBorder="1" applyAlignment="1">
      <alignment horizontal="center"/>
    </xf>
    <xf numFmtId="0" fontId="29" fillId="0" borderId="24" xfId="0" applyFont="1" applyBorder="1" applyAlignment="1">
      <alignment horizontal="center"/>
    </xf>
    <xf numFmtId="0" fontId="29" fillId="0" borderId="25" xfId="0" applyFont="1" applyBorder="1" applyAlignment="1">
      <alignment horizontal="center"/>
    </xf>
  </cellXfs>
  <cellStyles count="5">
    <cellStyle name="Comma" xfId="1" builtinId="3"/>
    <cellStyle name="Currency" xfId="2" builtinId="4"/>
    <cellStyle name="Good" xfId="4" builtinId="26"/>
    <cellStyle name="Normal" xfId="0" builtinId="0"/>
    <cellStyle name="Per 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A94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FV_April25!#REF!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FV_April25!#REF!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FV_April25!#REF!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829-9145-BBD7-4F31A24DC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FV_May25!#REF!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FV_May25!#REF!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FV_May25!#REF!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EEF-7542-819F-54D965F60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FV_June25!#REF!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FV_June25!#REF!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FV_June25!#REF!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22B-CC4C-B385-182D7C730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'FV_July25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'FV_July25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'FV_July25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E5-4F41-BE3B-9C0FE9E42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FV_August25!#REF!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FV_August25!#REF!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FV_August25!#REF!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02B-C046-8432-C3FECC886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FV_September25!#REF!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FV_September25!#REF!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FV_September25!#REF!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E7D-DC46-BF2D-D7C6BADF7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FV_October25!#REF!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FV_October25!#REF!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FV_October25!#REF!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959-4A41-98DA-7A018183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FV_Nov25!#REF!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FV_Nov25!#REF!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FV_Nov25!#REF!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FCD-A244-B161-20CDA1BD2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FV_Dec25!#REF!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FV_Dec25!#REF!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FV_Dec25!#REF!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01E-7A40-811D-F2889E5EF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FV_Jan26!#REF!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FV_Jan26!#REF!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FV_Jan26!#REF!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EE2-C14A-9F9A-C0BD55673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FV_Feb26!#REF!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FV_Feb26!#REF!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FV_Feb26!#REF!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7C4-234A-AD1E-0044E40F9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FV_Feb26!#REF!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FV_Feb26!#REF!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FV_Feb26!#REF!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9B6-BE4E-9335-48C475BC7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FV_PLANNING!#REF!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FV_PLANNING!#REF!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FV_PLANNING!#REF!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D-5746-B396-14B60816F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FV_PLANNING2!#REF!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FV_PLANNING2!#REF!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FV_PLANNING2!#REF!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935-2D4F-BE87-15D43376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FV_July25TEST!#REF!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FV_July25TEST!#REF!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FV_July25TEST!#REF!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AEC-0744-9A8D-274595F31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FV_Play!#REF!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FV_Play!#REF!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FV_Play!#REF!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875-1542-AADA-5CD6A6813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Copy1!#REF!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Copy1!#REF!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Copy1!#REF!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8BD-8846-9AB6-7F53D3224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HouseView!#REF!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HouseView!#REF!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HouseView!#REF!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F04-D542-B4C2-B79F6B3E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Newhouse!#REF!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Newhouse!#REF!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Newhouse!#REF!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B28-144F-9751-57996D848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PayAsh!$V$6</c:f>
              <c:strCache>
                <c:ptCount val="1"/>
                <c:pt idx="0">
                  <c:v>Total Net Worth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PayAsh!$Q$7:$Q$66</c:f>
              <c:strCache>
                <c:ptCount val="60"/>
                <c:pt idx="0">
                  <c:v>March 2026</c:v>
                </c:pt>
                <c:pt idx="1">
                  <c:v>April 2026</c:v>
                </c:pt>
                <c:pt idx="2">
                  <c:v>May 2026</c:v>
                </c:pt>
                <c:pt idx="3">
                  <c:v>June 2026</c:v>
                </c:pt>
                <c:pt idx="4">
                  <c:v>July 2026</c:v>
                </c:pt>
                <c:pt idx="5">
                  <c:v>August 2026</c:v>
                </c:pt>
                <c:pt idx="6">
                  <c:v>September 2026</c:v>
                </c:pt>
                <c:pt idx="7">
                  <c:v>October 2026</c:v>
                </c:pt>
                <c:pt idx="8">
                  <c:v>November 2026</c:v>
                </c:pt>
                <c:pt idx="9">
                  <c:v>December 2026</c:v>
                </c:pt>
                <c:pt idx="10">
                  <c:v>January 2027</c:v>
                </c:pt>
                <c:pt idx="11">
                  <c:v>February 2027</c:v>
                </c:pt>
                <c:pt idx="12">
                  <c:v>March 2027</c:v>
                </c:pt>
                <c:pt idx="13">
                  <c:v>April 2027</c:v>
                </c:pt>
                <c:pt idx="14">
                  <c:v>May 2027</c:v>
                </c:pt>
                <c:pt idx="15">
                  <c:v>June 2027</c:v>
                </c:pt>
                <c:pt idx="16">
                  <c:v>July 2027</c:v>
                </c:pt>
                <c:pt idx="17">
                  <c:v>August 2027</c:v>
                </c:pt>
                <c:pt idx="18">
                  <c:v>September 2027</c:v>
                </c:pt>
                <c:pt idx="19">
                  <c:v>October 2027</c:v>
                </c:pt>
                <c:pt idx="20">
                  <c:v>October 2027</c:v>
                </c:pt>
                <c:pt idx="21">
                  <c:v>November 2027</c:v>
                </c:pt>
                <c:pt idx="22">
                  <c:v>December 2027</c:v>
                </c:pt>
                <c:pt idx="23">
                  <c:v>January 2028</c:v>
                </c:pt>
                <c:pt idx="24">
                  <c:v>February 2028</c:v>
                </c:pt>
                <c:pt idx="25">
                  <c:v>March 2028</c:v>
                </c:pt>
                <c:pt idx="26">
                  <c:v>April 2028</c:v>
                </c:pt>
                <c:pt idx="27">
                  <c:v>May 2028</c:v>
                </c:pt>
                <c:pt idx="28">
                  <c:v>June 2028</c:v>
                </c:pt>
                <c:pt idx="29">
                  <c:v>July 2028</c:v>
                </c:pt>
                <c:pt idx="30">
                  <c:v>August 2028</c:v>
                </c:pt>
                <c:pt idx="31">
                  <c:v>September 2028</c:v>
                </c:pt>
                <c:pt idx="32">
                  <c:v>October 2028</c:v>
                </c:pt>
                <c:pt idx="33">
                  <c:v>November 2028</c:v>
                </c:pt>
                <c:pt idx="34">
                  <c:v>December 2028</c:v>
                </c:pt>
                <c:pt idx="35">
                  <c:v>January 2029</c:v>
                </c:pt>
                <c:pt idx="36">
                  <c:v>February 2029</c:v>
                </c:pt>
                <c:pt idx="37">
                  <c:v>March 2029</c:v>
                </c:pt>
                <c:pt idx="38">
                  <c:v>April 2029</c:v>
                </c:pt>
                <c:pt idx="39">
                  <c:v>May 2029</c:v>
                </c:pt>
                <c:pt idx="40">
                  <c:v>June 2029</c:v>
                </c:pt>
                <c:pt idx="41">
                  <c:v>July 2029</c:v>
                </c:pt>
                <c:pt idx="42">
                  <c:v>August 2029</c:v>
                </c:pt>
                <c:pt idx="43">
                  <c:v>September 2029</c:v>
                </c:pt>
                <c:pt idx="44">
                  <c:v>October 2029</c:v>
                </c:pt>
                <c:pt idx="45">
                  <c:v>November 2029</c:v>
                </c:pt>
                <c:pt idx="46">
                  <c:v>December 2029</c:v>
                </c:pt>
                <c:pt idx="47">
                  <c:v>January 2030</c:v>
                </c:pt>
                <c:pt idx="48">
                  <c:v>February 2030</c:v>
                </c:pt>
                <c:pt idx="49">
                  <c:v>March 2030</c:v>
                </c:pt>
                <c:pt idx="50">
                  <c:v>April 2030</c:v>
                </c:pt>
                <c:pt idx="51">
                  <c:v>May 2030</c:v>
                </c:pt>
                <c:pt idx="52">
                  <c:v>June 2030</c:v>
                </c:pt>
                <c:pt idx="53">
                  <c:v>July 2030</c:v>
                </c:pt>
                <c:pt idx="54">
                  <c:v>August 2030</c:v>
                </c:pt>
                <c:pt idx="55">
                  <c:v>September 2030</c:v>
                </c:pt>
                <c:pt idx="56">
                  <c:v>October 2030</c:v>
                </c:pt>
                <c:pt idx="57">
                  <c:v>November 2030</c:v>
                </c:pt>
                <c:pt idx="58">
                  <c:v>December 2030</c:v>
                </c:pt>
                <c:pt idx="59">
                  <c:v>January 2031</c:v>
                </c:pt>
              </c:strCache>
            </c:strRef>
          </c:cat>
          <c:val>
            <c:numRef>
              <c:f>PayAsh!$V$7:$V$66</c:f>
              <c:numCache>
                <c:formatCode>_("$"* #,##0_);_("$"* \(#,##0\);_("$"* "-"??_);_(@_)</c:formatCode>
                <c:ptCount val="60"/>
                <c:pt idx="0">
                  <c:v>3554000</c:v>
                </c:pt>
                <c:pt idx="1">
                  <c:v>3608992.064166666</c:v>
                </c:pt>
                <c:pt idx="2">
                  <c:v>3664315.239444444</c:v>
                </c:pt>
                <c:pt idx="3">
                  <c:v>3719972.2850925922</c:v>
                </c:pt>
                <c:pt idx="4">
                  <c:v>3775965.9833641965</c:v>
                </c:pt>
                <c:pt idx="5">
                  <c:v>3832299.1396977874</c:v>
                </c:pt>
                <c:pt idx="6">
                  <c:v>3888974.5829105461</c:v>
                </c:pt>
                <c:pt idx="7">
                  <c:v>3945995.1653931346</c:v>
                </c:pt>
                <c:pt idx="8">
                  <c:v>4003363.7633061325</c:v>
                </c:pt>
                <c:pt idx="9">
                  <c:v>4061083.2767781271</c:v>
                </c:pt>
                <c:pt idx="10">
                  <c:v>4119156.6301054452</c:v>
                </c:pt>
                <c:pt idx="11">
                  <c:v>4177586.7719535464</c:v>
                </c:pt>
                <c:pt idx="12">
                  <c:v>4236376.6755601037</c:v>
                </c:pt>
                <c:pt idx="13">
                  <c:v>4295529.3389397711</c:v>
                </c:pt>
                <c:pt idx="14">
                  <c:v>4355047.785090657</c:v>
                </c:pt>
                <c:pt idx="15">
                  <c:v>4414935.0622025244</c:v>
                </c:pt>
                <c:pt idx="16">
                  <c:v>4475194.2438667119</c:v>
                </c:pt>
                <c:pt idx="17">
                  <c:v>4535828.429287822</c:v>
                </c:pt>
                <c:pt idx="18">
                  <c:v>4596840.7434971659</c:v>
                </c:pt>
                <c:pt idx="19">
                  <c:v>4658234.3375679748</c:v>
                </c:pt>
                <c:pt idx="20">
                  <c:v>4720012.3888324294</c:v>
                </c:pt>
                <c:pt idx="21">
                  <c:v>4782178.1011004783</c:v>
                </c:pt>
                <c:pt idx="22">
                  <c:v>4844734.7048804816</c:v>
                </c:pt>
                <c:pt idx="23">
                  <c:v>4907685.4576017084</c:v>
                </c:pt>
                <c:pt idx="24">
                  <c:v>4971033.6438386664</c:v>
                </c:pt>
                <c:pt idx="25">
                  <c:v>5034782.5755373212</c:v>
                </c:pt>
                <c:pt idx="26">
                  <c:v>5098935.5922431881</c:v>
                </c:pt>
                <c:pt idx="27">
                  <c:v>5163496.0613313252</c:v>
                </c:pt>
                <c:pt idx="28">
                  <c:v>5228467.3782382533</c:v>
                </c:pt>
                <c:pt idx="29">
                  <c:v>5293852.9666957939</c:v>
                </c:pt>
                <c:pt idx="30">
                  <c:v>5359656.2789668692</c:v>
                </c:pt>
                <c:pt idx="31">
                  <c:v>5425880.7960832603</c:v>
                </c:pt>
                <c:pt idx="32">
                  <c:v>5492530.0280853426</c:v>
                </c:pt>
                <c:pt idx="33">
                  <c:v>5559607.5142638311</c:v>
                </c:pt>
                <c:pt idx="34">
                  <c:v>5627116.8234035298</c:v>
                </c:pt>
                <c:pt idx="35">
                  <c:v>5695061.5540291136</c:v>
                </c:pt>
                <c:pt idx="36">
                  <c:v>5763445.3346529678</c:v>
                </c:pt>
                <c:pt idx="37">
                  <c:v>5832271.8240250759</c:v>
                </c:pt>
                <c:pt idx="38">
                  <c:v>5901544.711385007</c:v>
                </c:pt>
                <c:pt idx="39">
                  <c:v>5971267.7167159943</c:v>
                </c:pt>
                <c:pt idx="40">
                  <c:v>6041444.591001126</c:v>
                </c:pt>
                <c:pt idx="41">
                  <c:v>6112079.1164816907</c:v>
                </c:pt>
                <c:pt idx="42">
                  <c:v>6183175.1069176495</c:v>
                </c:pt>
                <c:pt idx="43">
                  <c:v>6254736.4078502962</c:v>
                </c:pt>
                <c:pt idx="44">
                  <c:v>6326766.8968671039</c:v>
                </c:pt>
                <c:pt idx="45">
                  <c:v>6399270.483868775</c:v>
                </c:pt>
                <c:pt idx="46">
                  <c:v>6472251.111338513</c:v>
                </c:pt>
                <c:pt idx="47">
                  <c:v>6545712.7546135569</c:v>
                </c:pt>
                <c:pt idx="48">
                  <c:v>6619659.4221589472</c:v>
                </c:pt>
                <c:pt idx="49">
                  <c:v>6694095.1558436044</c:v>
                </c:pt>
                <c:pt idx="50">
                  <c:v>6769024.0312186908</c:v>
                </c:pt>
                <c:pt idx="51">
                  <c:v>6844450.1577982903</c:v>
                </c:pt>
                <c:pt idx="52">
                  <c:v>6920377.6793424431</c:v>
                </c:pt>
                <c:pt idx="53">
                  <c:v>6996810.7741425186</c:v>
                </c:pt>
                <c:pt idx="54">
                  <c:v>7073753.6553089833</c:v>
                </c:pt>
                <c:pt idx="55">
                  <c:v>7151210.5710615581</c:v>
                </c:pt>
                <c:pt idx="56">
                  <c:v>7229185.8050217936</c:v>
                </c:pt>
                <c:pt idx="57">
                  <c:v>7307683.6765080858</c:v>
                </c:pt>
                <c:pt idx="58">
                  <c:v>7386708.5408331528</c:v>
                </c:pt>
                <c:pt idx="59">
                  <c:v>7466264.789603984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5-0249-A084-212D1EBDA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#REF!$V$7:$V$66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#REF!$V$6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#REF!$Q$7:$Q$66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361-3243-A71D-2317A1F97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'T2'!$V$6</c:f>
              <c:strCache>
                <c:ptCount val="1"/>
                <c:pt idx="0">
                  <c:v>Total Net Worth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'T2'!$Q$7:$Q$66</c:f>
              <c:strCache>
                <c:ptCount val="60"/>
                <c:pt idx="0">
                  <c:v>March 2026</c:v>
                </c:pt>
                <c:pt idx="1">
                  <c:v>April 2026</c:v>
                </c:pt>
                <c:pt idx="2">
                  <c:v>May 2026</c:v>
                </c:pt>
                <c:pt idx="3">
                  <c:v>June 2026</c:v>
                </c:pt>
                <c:pt idx="4">
                  <c:v>July 2026</c:v>
                </c:pt>
                <c:pt idx="5">
                  <c:v>August 2026</c:v>
                </c:pt>
                <c:pt idx="6">
                  <c:v>September 2026</c:v>
                </c:pt>
                <c:pt idx="7">
                  <c:v>October 2026</c:v>
                </c:pt>
                <c:pt idx="8">
                  <c:v>November 2026</c:v>
                </c:pt>
                <c:pt idx="9">
                  <c:v>December 2026</c:v>
                </c:pt>
                <c:pt idx="10">
                  <c:v>January 2027</c:v>
                </c:pt>
                <c:pt idx="11">
                  <c:v>February 2027</c:v>
                </c:pt>
                <c:pt idx="12">
                  <c:v>March 2027</c:v>
                </c:pt>
                <c:pt idx="13">
                  <c:v>April 2027</c:v>
                </c:pt>
                <c:pt idx="14">
                  <c:v>May 2027</c:v>
                </c:pt>
                <c:pt idx="15">
                  <c:v>June 2027</c:v>
                </c:pt>
                <c:pt idx="16">
                  <c:v>July 2027</c:v>
                </c:pt>
                <c:pt idx="17">
                  <c:v>August 2027</c:v>
                </c:pt>
                <c:pt idx="18">
                  <c:v>September 2027</c:v>
                </c:pt>
                <c:pt idx="19">
                  <c:v>October 2027</c:v>
                </c:pt>
                <c:pt idx="20">
                  <c:v>October 2027</c:v>
                </c:pt>
                <c:pt idx="21">
                  <c:v>November 2027</c:v>
                </c:pt>
                <c:pt idx="22">
                  <c:v>December 2027</c:v>
                </c:pt>
                <c:pt idx="23">
                  <c:v>January 2028</c:v>
                </c:pt>
                <c:pt idx="24">
                  <c:v>February 2028</c:v>
                </c:pt>
                <c:pt idx="25">
                  <c:v>March 2028</c:v>
                </c:pt>
                <c:pt idx="26">
                  <c:v>April 2028</c:v>
                </c:pt>
                <c:pt idx="27">
                  <c:v>May 2028</c:v>
                </c:pt>
                <c:pt idx="28">
                  <c:v>June 2028</c:v>
                </c:pt>
                <c:pt idx="29">
                  <c:v>July 2028</c:v>
                </c:pt>
                <c:pt idx="30">
                  <c:v>August 2028</c:v>
                </c:pt>
                <c:pt idx="31">
                  <c:v>September 2028</c:v>
                </c:pt>
                <c:pt idx="32">
                  <c:v>October 2028</c:v>
                </c:pt>
                <c:pt idx="33">
                  <c:v>November 2028</c:v>
                </c:pt>
                <c:pt idx="34">
                  <c:v>December 2028</c:v>
                </c:pt>
                <c:pt idx="35">
                  <c:v>January 2029</c:v>
                </c:pt>
                <c:pt idx="36">
                  <c:v>February 2029</c:v>
                </c:pt>
                <c:pt idx="37">
                  <c:v>March 2029</c:v>
                </c:pt>
                <c:pt idx="38">
                  <c:v>April 2029</c:v>
                </c:pt>
                <c:pt idx="39">
                  <c:v>May 2029</c:v>
                </c:pt>
                <c:pt idx="40">
                  <c:v>June 2029</c:v>
                </c:pt>
                <c:pt idx="41">
                  <c:v>July 2029</c:v>
                </c:pt>
                <c:pt idx="42">
                  <c:v>August 2029</c:v>
                </c:pt>
                <c:pt idx="43">
                  <c:v>September 2029</c:v>
                </c:pt>
                <c:pt idx="44">
                  <c:v>October 2029</c:v>
                </c:pt>
                <c:pt idx="45">
                  <c:v>November 2029</c:v>
                </c:pt>
                <c:pt idx="46">
                  <c:v>December 2029</c:v>
                </c:pt>
                <c:pt idx="47">
                  <c:v>January 2030</c:v>
                </c:pt>
                <c:pt idx="48">
                  <c:v>February 2030</c:v>
                </c:pt>
                <c:pt idx="49">
                  <c:v>March 2030</c:v>
                </c:pt>
                <c:pt idx="50">
                  <c:v>April 2030</c:v>
                </c:pt>
                <c:pt idx="51">
                  <c:v>May 2030</c:v>
                </c:pt>
                <c:pt idx="52">
                  <c:v>June 2030</c:v>
                </c:pt>
                <c:pt idx="53">
                  <c:v>July 2030</c:v>
                </c:pt>
                <c:pt idx="54">
                  <c:v>August 2030</c:v>
                </c:pt>
                <c:pt idx="55">
                  <c:v>September 2030</c:v>
                </c:pt>
                <c:pt idx="56">
                  <c:v>October 2030</c:v>
                </c:pt>
                <c:pt idx="57">
                  <c:v>November 2030</c:v>
                </c:pt>
                <c:pt idx="58">
                  <c:v>December 2030</c:v>
                </c:pt>
                <c:pt idx="59">
                  <c:v>January 2031</c:v>
                </c:pt>
              </c:strCache>
            </c:strRef>
          </c:cat>
          <c:val>
            <c:numRef>
              <c:f>'T2'!$V$7:$V$66</c:f>
              <c:numCache>
                <c:formatCode>_("$"* #,##0_);_("$"* \(#,##0\);_("$"* "-"??_);_(@_)</c:formatCode>
                <c:ptCount val="60"/>
                <c:pt idx="0">
                  <c:v>2443200</c:v>
                </c:pt>
                <c:pt idx="1">
                  <c:v>2488160.3975</c:v>
                </c:pt>
                <c:pt idx="2">
                  <c:v>2533292.8227777774</c:v>
                </c:pt>
                <c:pt idx="3">
                  <c:v>2578598.7093981477</c:v>
                </c:pt>
                <c:pt idx="4">
                  <c:v>2624079.5028722989</c:v>
                </c:pt>
                <c:pt idx="5">
                  <c:v>2669736.6607573461</c:v>
                </c:pt>
                <c:pt idx="6">
                  <c:v>2715571.6527567129</c:v>
                </c:pt>
                <c:pt idx="7">
                  <c:v>2761585.960821352</c:v>
                </c:pt>
                <c:pt idx="8">
                  <c:v>2807781.0792518076</c:v>
                </c:pt>
                <c:pt idx="9">
                  <c:v>2854158.5148011283</c:v>
                </c:pt>
                <c:pt idx="10">
                  <c:v>2900719.7867786377</c:v>
                </c:pt>
                <c:pt idx="11">
                  <c:v>2947466.4271545708</c:v>
                </c:pt>
                <c:pt idx="12">
                  <c:v>2994399.9806655813</c:v>
                </c:pt>
                <c:pt idx="13">
                  <c:v>3041522.004921128</c:v>
                </c:pt>
                <c:pt idx="14">
                  <c:v>3088834.0705107478</c:v>
                </c:pt>
                <c:pt idx="15">
                  <c:v>3136337.7611122262</c:v>
                </c:pt>
                <c:pt idx="16">
                  <c:v>3184034.6736006616</c:v>
                </c:pt>
                <c:pt idx="17">
                  <c:v>3231926.4181584446</c:v>
                </c:pt>
                <c:pt idx="18">
                  <c:v>3280014.6183861541</c:v>
                </c:pt>
                <c:pt idx="19">
                  <c:v>3328300.9114143718</c:v>
                </c:pt>
                <c:pt idx="20">
                  <c:v>3376786.9480164363</c:v>
                </c:pt>
                <c:pt idx="21">
                  <c:v>3425474.3927221289</c:v>
                </c:pt>
                <c:pt idx="22">
                  <c:v>3474364.923932313</c:v>
                </c:pt>
                <c:pt idx="23">
                  <c:v>3523460.2340345262</c:v>
                </c:pt>
                <c:pt idx="24">
                  <c:v>3572762.0295195365</c:v>
                </c:pt>
                <c:pt idx="25">
                  <c:v>3622272.0310988659</c:v>
                </c:pt>
                <c:pt idx="26">
                  <c:v>3671991.973823301</c:v>
                </c:pt>
                <c:pt idx="27">
                  <c:v>3721923.6072023837</c:v>
                </c:pt>
                <c:pt idx="28">
                  <c:v>3772068.6953249038</c:v>
                </c:pt>
                <c:pt idx="29">
                  <c:v>3822429.0169803891</c:v>
                </c:pt>
                <c:pt idx="30">
                  <c:v>3873006.3657816141</c:v>
                </c:pt>
                <c:pt idx="31">
                  <c:v>3923802.5502881277</c:v>
                </c:pt>
                <c:pt idx="32">
                  <c:v>3974819.3941308064</c:v>
                </c:pt>
                <c:pt idx="33">
                  <c:v>4026058.7361374516</c:v>
                </c:pt>
                <c:pt idx="34">
                  <c:v>4077522.4304594304</c:v>
                </c:pt>
                <c:pt idx="35">
                  <c:v>4129212.3466993701</c:v>
                </c:pt>
                <c:pt idx="36">
                  <c:v>4181130.3700399203</c:v>
                </c:pt>
                <c:pt idx="37">
                  <c:v>4233278.4013735866</c:v>
                </c:pt>
                <c:pt idx="38">
                  <c:v>4285658.3574336441</c:v>
                </c:pt>
                <c:pt idx="39">
                  <c:v>4338272.1709261462</c:v>
                </c:pt>
                <c:pt idx="40">
                  <c:v>4391121.7906630309</c:v>
                </c:pt>
                <c:pt idx="41">
                  <c:v>4444209.1816963339</c:v>
                </c:pt>
                <c:pt idx="42">
                  <c:v>4497536.3254535254</c:v>
                </c:pt>
                <c:pt idx="43">
                  <c:v>4551105.2198739713</c:v>
                </c:pt>
                <c:pt idx="44">
                  <c:v>4604917.8795465324</c:v>
                </c:pt>
                <c:pt idx="45">
                  <c:v>4658976.3358483091</c:v>
                </c:pt>
                <c:pt idx="46">
                  <c:v>4713282.6370845456</c:v>
                </c:pt>
                <c:pt idx="47">
                  <c:v>4767838.8486296935</c:v>
                </c:pt>
                <c:pt idx="48">
                  <c:v>4822647.0530696642</c:v>
                </c:pt>
                <c:pt idx="49">
                  <c:v>4877709.3503452446</c:v>
                </c:pt>
                <c:pt idx="50">
                  <c:v>4933027.8578967322</c:v>
                </c:pt>
                <c:pt idx="51">
                  <c:v>4988604.7108097607</c:v>
                </c:pt>
                <c:pt idx="52">
                  <c:v>5044442.0619623419</c:v>
                </c:pt>
                <c:pt idx="53">
                  <c:v>5100542.0821731389</c:v>
                </c:pt>
                <c:pt idx="54">
                  <c:v>5156906.9603509698</c:v>
                </c:pt>
                <c:pt idx="55">
                  <c:v>5213538.903645562</c:v>
                </c:pt>
                <c:pt idx="56">
                  <c:v>5270440.1375995521</c:v>
                </c:pt>
                <c:pt idx="57">
                  <c:v>5327612.9063017704</c:v>
                </c:pt>
                <c:pt idx="58">
                  <c:v>5385059.4725417839</c:v>
                </c:pt>
                <c:pt idx="59">
                  <c:v>5442782.1179657429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1-2143-BE08-341A7D996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777120"/>
        <c:axId val="1210834623"/>
      </c:lineChart>
      <c:catAx>
        <c:axId val="15517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4623"/>
        <c:crosses val="autoZero"/>
        <c:auto val="1"/>
        <c:lblAlgn val="ctr"/>
        <c:lblOffset val="100"/>
        <c:noMultiLvlLbl val="0"/>
      </c:catAx>
      <c:valAx>
        <c:axId val="1210834623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52A7C-DE96-5743-A49A-654C5A282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3402D-120C-404B-B23A-4791C845F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EB0F0-E0EA-F248-B76C-D18C509C2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23FAF-3905-6744-96EC-18EA80F24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56B35-2D58-D24D-A380-3A05F0FD2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8A993-B4D8-DB4F-A89E-8C78CB2C4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D44A5-C8F6-634C-BD6A-E1F1E0242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81119-174D-A14B-986E-469ED182C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B4DCD-051F-2A41-A977-76A66E139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38955-FB9B-3F45-8581-D797F221C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65149-6A1B-924E-AD77-0F6AD3454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75539-C87F-D44A-B7CB-8502AEE80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35B4F-8BE7-8A44-BDB5-16EC8E253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7AC89-AC34-8240-8E57-9D922E846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E4DD9-FEBB-D94E-B91A-95FD3405E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18968-0EF3-C04A-BF59-FE3994BDD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7712C-0A76-3A4F-9C92-2F2E731C0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749300</xdr:colOff>
      <xdr:row>8</xdr:row>
      <xdr:rowOff>215900</xdr:rowOff>
    </xdr:from>
    <xdr:to>
      <xdr:col>57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E2356-72D0-1D4C-95C9-47980D3EF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749300</xdr:colOff>
      <xdr:row>8</xdr:row>
      <xdr:rowOff>215900</xdr:rowOff>
    </xdr:from>
    <xdr:to>
      <xdr:col>55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AF706-5111-BE42-98BA-9F44FC193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749300</xdr:colOff>
      <xdr:row>8</xdr:row>
      <xdr:rowOff>215900</xdr:rowOff>
    </xdr:from>
    <xdr:to>
      <xdr:col>54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F8A9B-909A-8842-93DE-BF2D990F3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749300</xdr:colOff>
      <xdr:row>8</xdr:row>
      <xdr:rowOff>215900</xdr:rowOff>
    </xdr:from>
    <xdr:to>
      <xdr:col>55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0BCE7-C312-1641-A64E-96D798FDB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749300</xdr:colOff>
      <xdr:row>8</xdr:row>
      <xdr:rowOff>215900</xdr:rowOff>
    </xdr:from>
    <xdr:to>
      <xdr:col>54</xdr:col>
      <xdr:colOff>736600</xdr:colOff>
      <xdr:row>53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C93C6-63B0-E745-A0AC-BF9B77361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hn W" id="{B85EC3C0-EC1E-B14B-9A0E-926A0796781C}" userId="f30dcbe2fd09f9e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2-26T02:34:18.75" personId="{B85EC3C0-EC1E-B14B-9A0E-926A0796781C}" id="{D4C76D3E-F9E1-4C43-9D4F-72154D82DA66}">
    <text>Items in yellow can be copied across to all months as they are recurring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D1BF-E2A7-694F-8857-CD299FC72C8C}">
  <dimension ref="B1:AH89"/>
  <sheetViews>
    <sheetView showGridLines="0" zoomScale="70" zoomScaleNormal="70" workbookViewId="0">
      <pane xSplit="3" ySplit="4" topLeftCell="D54" activePane="bottomRight" state="frozen"/>
      <selection pane="topRight" activeCell="D1" sqref="D1"/>
      <selection pane="bottomLeft" activeCell="A5" sqref="A5"/>
      <selection pane="bottomRight" activeCell="Q73" sqref="Q73"/>
    </sheetView>
  </sheetViews>
  <sheetFormatPr baseColWidth="10" defaultColWidth="34.1640625" defaultRowHeight="15.75" customHeight="1" x14ac:dyDescent="0.25"/>
  <cols>
    <col min="1" max="1" width="5" style="1" customWidth="1"/>
    <col min="2" max="2" width="50.33203125" style="1" customWidth="1"/>
    <col min="3" max="3" width="53.33203125" style="3" customWidth="1"/>
    <col min="4" max="4" width="4.1640625" style="7" customWidth="1"/>
    <col min="5" max="13" width="34.1640625" style="8" hidden="1" customWidth="1"/>
    <col min="14" max="14" width="0" style="8" hidden="1" customWidth="1"/>
    <col min="15" max="28" width="34.1640625" style="8"/>
    <col min="29" max="16384" width="34.1640625" style="1"/>
  </cols>
  <sheetData>
    <row r="1" spans="2:29" ht="64" customHeight="1" x14ac:dyDescent="0.6">
      <c r="B1" s="597" t="s">
        <v>90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7" t="s">
        <v>90</v>
      </c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</row>
    <row r="2" spans="2:29" ht="15.75" customHeight="1" thickBot="1" x14ac:dyDescent="0.3"/>
    <row r="3" spans="2:29" ht="41" customHeight="1" thickBot="1" x14ac:dyDescent="0.45">
      <c r="B3" s="95"/>
      <c r="C3" s="96" t="s">
        <v>89</v>
      </c>
      <c r="D3" s="73"/>
      <c r="E3" s="594" t="s">
        <v>152</v>
      </c>
      <c r="F3" s="595"/>
      <c r="G3" s="595"/>
      <c r="H3" s="595"/>
      <c r="I3" s="595"/>
      <c r="J3" s="595"/>
      <c r="K3" s="595"/>
      <c r="L3" s="595"/>
      <c r="M3" s="595"/>
      <c r="N3" s="595"/>
      <c r="O3" s="596"/>
      <c r="P3" s="594" t="s">
        <v>88</v>
      </c>
      <c r="Q3" s="595"/>
      <c r="R3" s="595"/>
      <c r="S3" s="595"/>
      <c r="T3" s="595"/>
      <c r="U3" s="595"/>
      <c r="V3" s="595"/>
      <c r="W3" s="595"/>
      <c r="X3" s="595"/>
      <c r="Y3" s="595"/>
      <c r="Z3" s="596"/>
      <c r="AA3" s="1"/>
      <c r="AB3" s="1"/>
    </row>
    <row r="4" spans="2:29" ht="28" customHeight="1" thickBot="1" x14ac:dyDescent="0.35">
      <c r="C4" s="1"/>
      <c r="D4" s="1"/>
      <c r="E4" s="69">
        <v>45292</v>
      </c>
      <c r="F4" s="70">
        <v>45323</v>
      </c>
      <c r="G4" s="69">
        <v>45352</v>
      </c>
      <c r="H4" s="70">
        <v>45383</v>
      </c>
      <c r="I4" s="69">
        <v>45413</v>
      </c>
      <c r="J4" s="70">
        <v>45444</v>
      </c>
      <c r="K4" s="69">
        <v>45474</v>
      </c>
      <c r="L4" s="70">
        <v>45505</v>
      </c>
      <c r="M4" s="69">
        <v>45536</v>
      </c>
      <c r="N4" s="70">
        <v>45566</v>
      </c>
      <c r="O4" s="69">
        <v>45597</v>
      </c>
      <c r="P4" s="70">
        <v>45627</v>
      </c>
      <c r="Q4" s="69">
        <v>45658</v>
      </c>
      <c r="R4" s="70">
        <v>45689</v>
      </c>
      <c r="S4" s="69">
        <v>45717</v>
      </c>
      <c r="T4" s="70">
        <v>45748</v>
      </c>
      <c r="U4" s="69">
        <v>45778</v>
      </c>
      <c r="V4" s="70">
        <v>45809</v>
      </c>
      <c r="W4" s="69">
        <v>45839</v>
      </c>
      <c r="X4" s="70">
        <v>45870</v>
      </c>
      <c r="Y4" s="69">
        <v>45901</v>
      </c>
      <c r="Z4" s="70">
        <v>45931</v>
      </c>
      <c r="AA4" s="69">
        <v>45962</v>
      </c>
      <c r="AB4" s="70">
        <v>45992</v>
      </c>
    </row>
    <row r="5" spans="2:29" s="2" customFormat="1" ht="32" customHeight="1" x14ac:dyDescent="0.25">
      <c r="B5" s="77" t="s">
        <v>95</v>
      </c>
      <c r="C5" s="78">
        <f>SUM(C6:C10)</f>
        <v>0</v>
      </c>
      <c r="D5" s="76"/>
      <c r="E5" s="11">
        <f t="shared" ref="E5:P5" si="0">SUM(E6:E10)</f>
        <v>0</v>
      </c>
      <c r="F5" s="11">
        <f t="shared" si="0"/>
        <v>0</v>
      </c>
      <c r="G5" s="11">
        <f t="shared" si="0"/>
        <v>0</v>
      </c>
      <c r="H5" s="11">
        <f t="shared" si="0"/>
        <v>0</v>
      </c>
      <c r="I5" s="11">
        <f t="shared" si="0"/>
        <v>0</v>
      </c>
      <c r="J5" s="11">
        <f t="shared" si="0"/>
        <v>0</v>
      </c>
      <c r="K5" s="11">
        <f t="shared" si="0"/>
        <v>0</v>
      </c>
      <c r="L5" s="11">
        <f t="shared" si="0"/>
        <v>0</v>
      </c>
      <c r="M5" s="11">
        <f t="shared" si="0"/>
        <v>0</v>
      </c>
      <c r="N5" s="11">
        <f t="shared" si="0"/>
        <v>0</v>
      </c>
      <c r="O5" s="11">
        <f t="shared" si="0"/>
        <v>0</v>
      </c>
      <c r="P5" s="11">
        <f t="shared" si="0"/>
        <v>0</v>
      </c>
      <c r="Q5" s="11">
        <f t="shared" ref="Q5" si="1">SUM(Q6:Q10)</f>
        <v>0</v>
      </c>
      <c r="R5" s="11">
        <f t="shared" ref="R5" si="2">SUM(R6:R10)</f>
        <v>0</v>
      </c>
      <c r="S5" s="11">
        <f t="shared" ref="S5" si="3">SUM(S6:S10)</f>
        <v>0</v>
      </c>
      <c r="T5" s="11">
        <f t="shared" ref="T5" si="4">SUM(T6:T10)</f>
        <v>0</v>
      </c>
      <c r="U5" s="11">
        <f t="shared" ref="U5" si="5">SUM(U6:U10)</f>
        <v>0</v>
      </c>
      <c r="V5" s="11">
        <f t="shared" ref="V5" si="6">SUM(V6:V10)</f>
        <v>0</v>
      </c>
      <c r="W5" s="11">
        <f t="shared" ref="W5" si="7">SUM(W6:W10)</f>
        <v>0</v>
      </c>
      <c r="X5" s="11">
        <f t="shared" ref="X5" si="8">SUM(X6:X10)</f>
        <v>0</v>
      </c>
      <c r="Y5" s="11">
        <f t="shared" ref="Y5" si="9">SUM(Y6:Y10)</f>
        <v>0</v>
      </c>
      <c r="Z5" s="11">
        <f t="shared" ref="Z5" si="10">SUM(Z6:Z10)</f>
        <v>0</v>
      </c>
      <c r="AA5" s="11">
        <f t="shared" ref="AA5" si="11">SUM(AA6:AA10)</f>
        <v>0</v>
      </c>
      <c r="AB5" s="11">
        <f t="shared" ref="AB5" si="12">SUM(AB6:AB10)</f>
        <v>0</v>
      </c>
    </row>
    <row r="6" spans="2:29" ht="32" customHeight="1" x14ac:dyDescent="0.25">
      <c r="B6" s="71" t="s">
        <v>30</v>
      </c>
      <c r="C6" s="91"/>
      <c r="D6" s="67"/>
      <c r="E6" s="67">
        <f t="shared" ref="E6:AB6" si="13">$C$5</f>
        <v>0</v>
      </c>
      <c r="F6" s="67">
        <f t="shared" si="13"/>
        <v>0</v>
      </c>
      <c r="G6" s="67">
        <f t="shared" si="13"/>
        <v>0</v>
      </c>
      <c r="H6" s="67">
        <f t="shared" si="13"/>
        <v>0</v>
      </c>
      <c r="I6" s="67">
        <f t="shared" si="13"/>
        <v>0</v>
      </c>
      <c r="J6" s="67">
        <f t="shared" si="13"/>
        <v>0</v>
      </c>
      <c r="K6" s="67">
        <f t="shared" si="13"/>
        <v>0</v>
      </c>
      <c r="L6" s="67">
        <f t="shared" si="13"/>
        <v>0</v>
      </c>
      <c r="M6" s="67">
        <f t="shared" si="13"/>
        <v>0</v>
      </c>
      <c r="N6" s="67">
        <f t="shared" si="13"/>
        <v>0</v>
      </c>
      <c r="O6" s="67">
        <f t="shared" si="13"/>
        <v>0</v>
      </c>
      <c r="P6" s="67">
        <f t="shared" si="13"/>
        <v>0</v>
      </c>
      <c r="Q6" s="67">
        <f t="shared" si="13"/>
        <v>0</v>
      </c>
      <c r="R6" s="67">
        <f t="shared" si="13"/>
        <v>0</v>
      </c>
      <c r="S6" s="67">
        <f t="shared" si="13"/>
        <v>0</v>
      </c>
      <c r="T6" s="67">
        <f t="shared" si="13"/>
        <v>0</v>
      </c>
      <c r="U6" s="67">
        <f t="shared" si="13"/>
        <v>0</v>
      </c>
      <c r="V6" s="67">
        <f t="shared" si="13"/>
        <v>0</v>
      </c>
      <c r="W6" s="67">
        <f t="shared" si="13"/>
        <v>0</v>
      </c>
      <c r="X6" s="67">
        <f t="shared" si="13"/>
        <v>0</v>
      </c>
      <c r="Y6" s="67">
        <f t="shared" si="13"/>
        <v>0</v>
      </c>
      <c r="Z6" s="67">
        <f t="shared" si="13"/>
        <v>0</v>
      </c>
      <c r="AA6" s="67">
        <f t="shared" si="13"/>
        <v>0</v>
      </c>
      <c r="AB6" s="67">
        <f t="shared" si="13"/>
        <v>0</v>
      </c>
    </row>
    <row r="7" spans="2:29" ht="32" customHeight="1" x14ac:dyDescent="0.25">
      <c r="B7" s="71" t="s">
        <v>62</v>
      </c>
      <c r="C7" s="91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</row>
    <row r="8" spans="2:29" ht="32" customHeight="1" x14ac:dyDescent="0.25">
      <c r="B8" s="71" t="s">
        <v>94</v>
      </c>
      <c r="C8" s="91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spans="2:29" ht="32" customHeight="1" x14ac:dyDescent="0.25">
      <c r="B9" s="71" t="s">
        <v>96</v>
      </c>
      <c r="C9" s="91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</row>
    <row r="10" spans="2:29" ht="32" customHeight="1" x14ac:dyDescent="0.25">
      <c r="B10" s="71" t="s">
        <v>35</v>
      </c>
      <c r="C10" s="91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</row>
    <row r="11" spans="2:29" ht="32" customHeight="1" x14ac:dyDescent="0.25">
      <c r="B11" s="72"/>
      <c r="C11" s="14"/>
      <c r="D11" s="67"/>
    </row>
    <row r="12" spans="2:29" s="2" customFormat="1" ht="32" customHeight="1" x14ac:dyDescent="0.25">
      <c r="B12" s="5" t="s">
        <v>9</v>
      </c>
      <c r="C12" s="13">
        <f>SUM(C13:C20)</f>
        <v>875.73250000000007</v>
      </c>
      <c r="D12" s="76"/>
      <c r="E12" s="11">
        <f>SUM(E13:E20)</f>
        <v>957.21583333333319</v>
      </c>
      <c r="F12" s="11">
        <f t="shared" ref="F12:AB12" si="14">SUM(F13:F20)</f>
        <v>957.21583333333319</v>
      </c>
      <c r="G12" s="11">
        <f t="shared" si="14"/>
        <v>937.80583333333334</v>
      </c>
      <c r="H12" s="11">
        <f t="shared" si="14"/>
        <v>842.98916666666673</v>
      </c>
      <c r="I12" s="11">
        <f t="shared" si="14"/>
        <v>943.55583333333334</v>
      </c>
      <c r="J12" s="11">
        <f t="shared" si="14"/>
        <v>943.55583333333334</v>
      </c>
      <c r="K12" s="11">
        <f t="shared" si="14"/>
        <v>1010.7658333333334</v>
      </c>
      <c r="L12" s="11">
        <f t="shared" si="14"/>
        <v>893.19916666666666</v>
      </c>
      <c r="M12" s="11">
        <f t="shared" si="14"/>
        <v>843.19916666666666</v>
      </c>
      <c r="N12" s="11">
        <f t="shared" si="14"/>
        <v>898.73250000000007</v>
      </c>
      <c r="O12" s="11">
        <f t="shared" si="14"/>
        <v>1088.3991666666666</v>
      </c>
      <c r="P12" s="11">
        <f t="shared" si="14"/>
        <v>1088.3991666666666</v>
      </c>
      <c r="Q12" s="11">
        <f t="shared" si="14"/>
        <v>1098.3991666666666</v>
      </c>
      <c r="R12" s="11">
        <f t="shared" si="14"/>
        <v>940.73250000000007</v>
      </c>
      <c r="S12" s="11">
        <f t="shared" si="14"/>
        <v>875.73250000000007</v>
      </c>
      <c r="T12" s="11">
        <f t="shared" si="14"/>
        <v>875.73250000000007</v>
      </c>
      <c r="U12" s="11">
        <f t="shared" si="14"/>
        <v>875.73250000000007</v>
      </c>
      <c r="V12" s="11">
        <f t="shared" si="14"/>
        <v>875.73250000000007</v>
      </c>
      <c r="W12" s="11">
        <f t="shared" si="14"/>
        <v>875.73250000000007</v>
      </c>
      <c r="X12" s="11">
        <f t="shared" si="14"/>
        <v>875.73250000000007</v>
      </c>
      <c r="Y12" s="11">
        <f t="shared" si="14"/>
        <v>875.73250000000007</v>
      </c>
      <c r="Z12" s="11">
        <f t="shared" si="14"/>
        <v>875.73250000000007</v>
      </c>
      <c r="AA12" s="11">
        <f t="shared" si="14"/>
        <v>875.73250000000007</v>
      </c>
      <c r="AB12" s="11">
        <f t="shared" si="14"/>
        <v>875.73250000000007</v>
      </c>
    </row>
    <row r="13" spans="2:29" ht="32" customHeight="1" x14ac:dyDescent="0.3">
      <c r="B13" s="111" t="s">
        <v>10</v>
      </c>
      <c r="C13" s="91">
        <v>116.66666666666667</v>
      </c>
      <c r="D13" s="67"/>
      <c r="E13" s="67">
        <v>198.15</v>
      </c>
      <c r="F13" s="67">
        <v>198.15</v>
      </c>
      <c r="G13" s="67">
        <v>198.15</v>
      </c>
      <c r="H13" s="67">
        <v>116.66666666666667</v>
      </c>
      <c r="I13" s="67">
        <v>217.23333333333335</v>
      </c>
      <c r="J13" s="67">
        <v>217.23333333333335</v>
      </c>
      <c r="K13" s="67">
        <v>217.23333333333335</v>
      </c>
      <c r="L13" s="67">
        <v>99.666666666666671</v>
      </c>
      <c r="M13" s="67">
        <v>99.666666666666671</v>
      </c>
      <c r="N13" s="67">
        <v>99.666666666666671</v>
      </c>
      <c r="O13" s="67">
        <v>274.33333333333331</v>
      </c>
      <c r="P13" s="67">
        <v>274.33333333333331</v>
      </c>
      <c r="Q13" s="67">
        <v>274.33333333333331</v>
      </c>
      <c r="R13" s="67">
        <v>116.66666666666667</v>
      </c>
      <c r="S13" s="67">
        <v>116.66666666666667</v>
      </c>
      <c r="T13" s="67">
        <v>116.66666666666667</v>
      </c>
      <c r="U13" s="67">
        <v>116.66666666666667</v>
      </c>
      <c r="V13" s="67">
        <v>116.66666666666667</v>
      </c>
      <c r="W13" s="67">
        <v>116.66666666666667</v>
      </c>
      <c r="X13" s="67">
        <v>116.66666666666667</v>
      </c>
      <c r="Y13" s="67">
        <v>116.66666666666667</v>
      </c>
      <c r="Z13" s="67">
        <v>116.66666666666667</v>
      </c>
      <c r="AA13" s="67">
        <v>116.66666666666667</v>
      </c>
      <c r="AB13" s="67">
        <v>116.66666666666667</v>
      </c>
    </row>
    <row r="14" spans="2:29" ht="32" customHeight="1" x14ac:dyDescent="0.3">
      <c r="B14" s="111" t="s">
        <v>11</v>
      </c>
      <c r="C14" s="91">
        <v>41.666666666666664</v>
      </c>
      <c r="D14" s="67"/>
      <c r="E14" s="67">
        <v>41.666666666666664</v>
      </c>
      <c r="F14" s="67">
        <v>41.666666666666664</v>
      </c>
      <c r="G14" s="67">
        <v>41.666666666666664</v>
      </c>
      <c r="H14" s="67">
        <v>41.666666666666664</v>
      </c>
      <c r="I14" s="67">
        <v>41.666666666666664</v>
      </c>
      <c r="J14" s="67">
        <v>41.666666666666664</v>
      </c>
      <c r="K14" s="67">
        <v>41.666666666666664</v>
      </c>
      <c r="L14" s="67">
        <v>41.666666666666664</v>
      </c>
      <c r="M14" s="67">
        <v>41.666666666666664</v>
      </c>
      <c r="N14" s="67">
        <v>41.666666666666664</v>
      </c>
      <c r="O14" s="67">
        <v>41.666666666666664</v>
      </c>
      <c r="P14" s="67">
        <v>41.666666666666664</v>
      </c>
      <c r="Q14" s="67">
        <v>41.666666666666664</v>
      </c>
      <c r="R14" s="67">
        <v>41.666666666666664</v>
      </c>
      <c r="S14" s="67">
        <v>41.666666666666664</v>
      </c>
      <c r="T14" s="67">
        <v>41.666666666666664</v>
      </c>
      <c r="U14" s="67">
        <v>41.666666666666664</v>
      </c>
      <c r="V14" s="67">
        <v>41.666666666666664</v>
      </c>
      <c r="W14" s="67">
        <v>41.666666666666664</v>
      </c>
      <c r="X14" s="67">
        <v>41.666666666666664</v>
      </c>
      <c r="Y14" s="67">
        <v>41.666666666666664</v>
      </c>
      <c r="Z14" s="67">
        <v>41.666666666666664</v>
      </c>
      <c r="AA14" s="67">
        <v>41.666666666666664</v>
      </c>
      <c r="AB14" s="67">
        <v>41.666666666666664</v>
      </c>
    </row>
    <row r="15" spans="2:29" ht="32" customHeight="1" x14ac:dyDescent="0.3">
      <c r="B15" s="111" t="s">
        <v>12</v>
      </c>
      <c r="C15" s="91">
        <v>170</v>
      </c>
      <c r="D15" s="67"/>
      <c r="E15" s="67">
        <v>170</v>
      </c>
      <c r="F15" s="67">
        <v>170</v>
      </c>
      <c r="G15" s="67">
        <v>150.59</v>
      </c>
      <c r="H15" s="67">
        <v>137.25666666666666</v>
      </c>
      <c r="I15" s="67">
        <v>137.25666666666666</v>
      </c>
      <c r="J15" s="67">
        <v>137.25666666666666</v>
      </c>
      <c r="K15" s="67">
        <v>154.46666666666667</v>
      </c>
      <c r="L15" s="67">
        <v>154.46666666666667</v>
      </c>
      <c r="M15" s="67">
        <v>154.46666666666667</v>
      </c>
      <c r="N15" s="67">
        <v>160</v>
      </c>
      <c r="O15" s="67">
        <v>160</v>
      </c>
      <c r="P15" s="67">
        <v>160</v>
      </c>
      <c r="Q15" s="67">
        <v>170</v>
      </c>
      <c r="R15" s="67">
        <v>170</v>
      </c>
      <c r="S15" s="67">
        <v>170</v>
      </c>
      <c r="T15" s="67">
        <v>170</v>
      </c>
      <c r="U15" s="67">
        <v>170</v>
      </c>
      <c r="V15" s="67">
        <v>170</v>
      </c>
      <c r="W15" s="67">
        <v>170</v>
      </c>
      <c r="X15" s="67">
        <v>170</v>
      </c>
      <c r="Y15" s="67">
        <v>170</v>
      </c>
      <c r="Z15" s="67">
        <v>170</v>
      </c>
      <c r="AA15" s="67">
        <v>170</v>
      </c>
      <c r="AB15" s="67">
        <v>170</v>
      </c>
    </row>
    <row r="16" spans="2:29" ht="32" customHeight="1" x14ac:dyDescent="0.3">
      <c r="B16" s="111" t="s">
        <v>13</v>
      </c>
      <c r="C16" s="91">
        <v>172</v>
      </c>
      <c r="D16" s="67"/>
      <c r="E16" s="67">
        <v>172</v>
      </c>
      <c r="F16" s="67">
        <v>172</v>
      </c>
      <c r="G16" s="67">
        <v>172</v>
      </c>
      <c r="H16" s="67">
        <v>172</v>
      </c>
      <c r="I16" s="67">
        <v>172</v>
      </c>
      <c r="J16" s="67">
        <v>172</v>
      </c>
      <c r="K16" s="67">
        <v>172</v>
      </c>
      <c r="L16" s="67">
        <v>172</v>
      </c>
      <c r="M16" s="67">
        <v>172</v>
      </c>
      <c r="N16" s="67">
        <v>172</v>
      </c>
      <c r="O16" s="67">
        <v>172</v>
      </c>
      <c r="P16" s="67">
        <v>172</v>
      </c>
      <c r="Q16" s="67">
        <v>172</v>
      </c>
      <c r="R16" s="67">
        <v>172</v>
      </c>
      <c r="S16" s="67">
        <v>172</v>
      </c>
      <c r="T16" s="67">
        <v>172</v>
      </c>
      <c r="U16" s="67">
        <v>172</v>
      </c>
      <c r="V16" s="67">
        <v>172</v>
      </c>
      <c r="W16" s="67">
        <v>172</v>
      </c>
      <c r="X16" s="67">
        <v>172</v>
      </c>
      <c r="Y16" s="67">
        <v>172</v>
      </c>
      <c r="Z16" s="67">
        <v>172</v>
      </c>
      <c r="AA16" s="67">
        <v>172</v>
      </c>
      <c r="AB16" s="67">
        <v>172</v>
      </c>
    </row>
    <row r="17" spans="2:28" ht="32" customHeight="1" x14ac:dyDescent="0.3">
      <c r="B17" s="111" t="s">
        <v>130</v>
      </c>
      <c r="C17" s="91">
        <v>375.39916666666664</v>
      </c>
      <c r="D17" s="67"/>
      <c r="E17" s="67">
        <v>375.39916666666664</v>
      </c>
      <c r="F17" s="67">
        <v>375.39916666666664</v>
      </c>
      <c r="G17" s="67">
        <v>375.39916666666664</v>
      </c>
      <c r="H17" s="67">
        <v>375.39916666666664</v>
      </c>
      <c r="I17" s="67">
        <v>375.39916666666664</v>
      </c>
      <c r="J17" s="67">
        <v>375.39916666666664</v>
      </c>
      <c r="K17" s="67">
        <v>375.39916666666664</v>
      </c>
      <c r="L17" s="67">
        <v>375.39916666666664</v>
      </c>
      <c r="M17" s="67">
        <v>375.39916666666664</v>
      </c>
      <c r="N17" s="67">
        <v>375.39916666666664</v>
      </c>
      <c r="O17" s="67">
        <v>375.39916666666664</v>
      </c>
      <c r="P17" s="67">
        <v>375.39916666666664</v>
      </c>
      <c r="Q17" s="67">
        <v>375.39916666666664</v>
      </c>
      <c r="R17" s="67">
        <v>375.39916666666664</v>
      </c>
      <c r="S17" s="67">
        <v>375.39916666666664</v>
      </c>
      <c r="T17" s="67">
        <v>375.39916666666664</v>
      </c>
      <c r="U17" s="67">
        <v>375.39916666666664</v>
      </c>
      <c r="V17" s="67">
        <v>375.39916666666664</v>
      </c>
      <c r="W17" s="67">
        <v>375.39916666666664</v>
      </c>
      <c r="X17" s="67">
        <v>375.39916666666664</v>
      </c>
      <c r="Y17" s="67">
        <v>375.39916666666664</v>
      </c>
      <c r="Z17" s="67">
        <v>375.39916666666664</v>
      </c>
      <c r="AA17" s="67">
        <v>375.39916666666664</v>
      </c>
      <c r="AB17" s="67">
        <v>375.39916666666664</v>
      </c>
    </row>
    <row r="18" spans="2:28" ht="32" customHeight="1" x14ac:dyDescent="0.3">
      <c r="B18" s="111" t="s">
        <v>131</v>
      </c>
      <c r="C18" s="91"/>
      <c r="D18" s="67"/>
      <c r="E18" s="67"/>
      <c r="F18" s="67"/>
      <c r="G18" s="67"/>
      <c r="H18" s="67"/>
      <c r="I18" s="67"/>
      <c r="J18" s="67"/>
      <c r="K18" s="67">
        <v>50</v>
      </c>
      <c r="L18" s="67">
        <v>50</v>
      </c>
      <c r="M18" s="67"/>
      <c r="N18" s="67">
        <v>50</v>
      </c>
      <c r="O18" s="67">
        <v>65</v>
      </c>
      <c r="P18" s="67">
        <v>65</v>
      </c>
      <c r="Q18" s="67">
        <v>65</v>
      </c>
      <c r="R18" s="67">
        <v>65</v>
      </c>
      <c r="S18" s="67"/>
      <c r="T18" s="67"/>
      <c r="U18" s="67"/>
      <c r="V18" s="67"/>
      <c r="W18" s="67"/>
      <c r="X18" s="67"/>
      <c r="Y18" s="67"/>
      <c r="Z18" s="67"/>
      <c r="AA18" s="67"/>
      <c r="AB18" s="67"/>
    </row>
    <row r="19" spans="2:28" ht="32" customHeight="1" x14ac:dyDescent="0.25">
      <c r="B19" s="71"/>
      <c r="C19" s="91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</row>
    <row r="20" spans="2:28" ht="32" customHeight="1" x14ac:dyDescent="0.25">
      <c r="B20" s="71"/>
      <c r="C20" s="91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</row>
    <row r="21" spans="2:28" ht="32" customHeight="1" x14ac:dyDescent="0.25">
      <c r="B21" s="72"/>
      <c r="C21" s="14"/>
      <c r="D21" s="67"/>
    </row>
    <row r="22" spans="2:28" s="2" customFormat="1" ht="32" customHeight="1" x14ac:dyDescent="0.25">
      <c r="B22" s="5" t="s">
        <v>14</v>
      </c>
      <c r="C22" s="13">
        <f>SUM(C23:C29)</f>
        <v>2120</v>
      </c>
      <c r="D22" s="76"/>
      <c r="E22" s="11">
        <f t="shared" ref="E22:P22" si="15">SUM(E23:E29)</f>
        <v>1886.72</v>
      </c>
      <c r="F22" s="11">
        <f t="shared" si="15"/>
        <v>1534.94</v>
      </c>
      <c r="G22" s="11">
        <f t="shared" si="15"/>
        <v>2427.69</v>
      </c>
      <c r="H22" s="11">
        <f t="shared" si="15"/>
        <v>2999.92</v>
      </c>
      <c r="I22" s="11">
        <f t="shared" si="15"/>
        <v>1770.63</v>
      </c>
      <c r="J22" s="11">
        <f t="shared" si="15"/>
        <v>2257.2200000000003</v>
      </c>
      <c r="K22" s="11">
        <f t="shared" si="15"/>
        <v>2654.1899999999996</v>
      </c>
      <c r="L22" s="11">
        <f t="shared" si="15"/>
        <v>2156.84</v>
      </c>
      <c r="M22" s="11">
        <f t="shared" si="15"/>
        <v>2271.54</v>
      </c>
      <c r="N22" s="11">
        <f t="shared" si="15"/>
        <v>2576.5100000000002</v>
      </c>
      <c r="O22" s="11">
        <f t="shared" si="15"/>
        <v>2174.52</v>
      </c>
      <c r="P22" s="11">
        <f t="shared" si="15"/>
        <v>2427.46</v>
      </c>
      <c r="Q22" s="11">
        <f t="shared" ref="Q22" si="16">SUM(Q23:Q29)</f>
        <v>3121.16</v>
      </c>
      <c r="R22" s="11">
        <f t="shared" ref="R22" si="17">SUM(R23:R29)</f>
        <v>1400</v>
      </c>
      <c r="S22" s="11">
        <f t="shared" ref="S22" si="18">SUM(S23:S29)</f>
        <v>1400</v>
      </c>
      <c r="T22" s="11">
        <f t="shared" ref="T22" si="19">SUM(T23:T29)</f>
        <v>1400</v>
      </c>
      <c r="U22" s="11">
        <f t="shared" ref="U22" si="20">SUM(U23:U29)</f>
        <v>1400</v>
      </c>
      <c r="V22" s="11">
        <f t="shared" ref="V22" si="21">SUM(V23:V29)</f>
        <v>1400</v>
      </c>
      <c r="W22" s="11">
        <f t="shared" ref="W22" si="22">SUM(W23:W29)</f>
        <v>1400</v>
      </c>
      <c r="X22" s="11">
        <f t="shared" ref="X22" si="23">SUM(X23:X29)</f>
        <v>1400</v>
      </c>
      <c r="Y22" s="11">
        <f t="shared" ref="Y22" si="24">SUM(Y23:Y29)</f>
        <v>1400</v>
      </c>
      <c r="Z22" s="11">
        <f t="shared" ref="Z22" si="25">SUM(Z23:Z29)</f>
        <v>1400</v>
      </c>
      <c r="AA22" s="11">
        <f t="shared" ref="AA22" si="26">SUM(AA23:AA29)</f>
        <v>1400</v>
      </c>
      <c r="AB22" s="11">
        <f t="shared" ref="AB22" si="27">SUM(AB23:AB29)</f>
        <v>1400</v>
      </c>
    </row>
    <row r="23" spans="2:28" ht="32" customHeight="1" x14ac:dyDescent="0.3">
      <c r="B23" s="112" t="s">
        <v>14</v>
      </c>
      <c r="C23" s="91">
        <v>2000</v>
      </c>
      <c r="D23" s="67"/>
      <c r="E23" s="67">
        <v>1886.72</v>
      </c>
      <c r="F23" s="67">
        <v>1534.94</v>
      </c>
      <c r="G23" s="67">
        <v>2427.69</v>
      </c>
      <c r="H23" s="67">
        <v>2999.92</v>
      </c>
      <c r="I23" s="67">
        <v>1770.63</v>
      </c>
      <c r="J23" s="67">
        <v>1923.17</v>
      </c>
      <c r="K23" s="67">
        <v>2495.1999999999998</v>
      </c>
      <c r="L23" s="67">
        <v>2023.85</v>
      </c>
      <c r="M23" s="67">
        <v>2271.54</v>
      </c>
      <c r="N23" s="67">
        <v>2436.52</v>
      </c>
      <c r="O23" s="67">
        <v>2005.53</v>
      </c>
      <c r="P23" s="67">
        <v>2384.1</v>
      </c>
      <c r="Q23" s="67">
        <v>2991.56</v>
      </c>
      <c r="R23" s="67">
        <v>1400</v>
      </c>
      <c r="S23" s="67">
        <v>1400</v>
      </c>
      <c r="T23" s="67">
        <v>1400</v>
      </c>
      <c r="U23" s="67">
        <v>1400</v>
      </c>
      <c r="V23" s="67">
        <v>1400</v>
      </c>
      <c r="W23" s="67">
        <v>1400</v>
      </c>
      <c r="X23" s="67">
        <v>1400</v>
      </c>
      <c r="Y23" s="67">
        <v>1400</v>
      </c>
      <c r="Z23" s="67">
        <v>1400</v>
      </c>
      <c r="AA23" s="67">
        <v>1400</v>
      </c>
      <c r="AB23" s="67">
        <v>1400</v>
      </c>
    </row>
    <row r="24" spans="2:28" ht="32" customHeight="1" x14ac:dyDescent="0.3">
      <c r="B24" s="112" t="s">
        <v>132</v>
      </c>
      <c r="C24" s="91">
        <v>120</v>
      </c>
      <c r="D24" s="67"/>
      <c r="E24" s="67"/>
      <c r="F24" s="67"/>
      <c r="G24" s="67"/>
      <c r="H24" s="67"/>
      <c r="I24" s="67"/>
      <c r="J24" s="67">
        <v>334.05</v>
      </c>
      <c r="K24" s="67">
        <v>158.99</v>
      </c>
      <c r="L24" s="67">
        <v>132.99</v>
      </c>
      <c r="M24" s="67">
        <v>0</v>
      </c>
      <c r="N24" s="67">
        <v>139.99</v>
      </c>
      <c r="O24" s="67">
        <v>168.99</v>
      </c>
      <c r="P24" s="67">
        <v>43.36</v>
      </c>
      <c r="Q24" s="67">
        <v>129.6</v>
      </c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</row>
    <row r="25" spans="2:28" ht="32" customHeight="1" x14ac:dyDescent="0.25">
      <c r="B25" s="103"/>
      <c r="C25" s="91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</row>
    <row r="26" spans="2:28" ht="32" customHeight="1" x14ac:dyDescent="0.25">
      <c r="B26" s="72"/>
      <c r="C26" s="91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</row>
    <row r="27" spans="2:28" ht="32" customHeight="1" x14ac:dyDescent="0.25">
      <c r="B27" s="72"/>
      <c r="C27" s="91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</row>
    <row r="28" spans="2:28" ht="32" customHeight="1" x14ac:dyDescent="0.25">
      <c r="B28" s="72"/>
      <c r="C28" s="91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</row>
    <row r="29" spans="2:28" ht="32" customHeight="1" x14ac:dyDescent="0.25">
      <c r="B29" s="6"/>
      <c r="C29" s="91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</row>
    <row r="30" spans="2:28" ht="32" customHeight="1" x14ac:dyDescent="0.25">
      <c r="B30" s="72"/>
      <c r="C30" s="14"/>
      <c r="D30" s="67"/>
    </row>
    <row r="31" spans="2:28" s="2" customFormat="1" ht="32" customHeight="1" x14ac:dyDescent="0.25">
      <c r="B31" s="5" t="s">
        <v>15</v>
      </c>
      <c r="C31" s="13">
        <f>SUM(C32:C37)</f>
        <v>230</v>
      </c>
      <c r="D31" s="76"/>
      <c r="E31" s="11">
        <f t="shared" ref="E31:P31" si="28">SUM(E32:E37)</f>
        <v>51.32</v>
      </c>
      <c r="F31" s="11">
        <f t="shared" si="28"/>
        <v>206.19</v>
      </c>
      <c r="G31" s="11">
        <f t="shared" si="28"/>
        <v>2419.71</v>
      </c>
      <c r="H31" s="11">
        <f t="shared" si="28"/>
        <v>4097.13</v>
      </c>
      <c r="I31" s="11">
        <f t="shared" si="28"/>
        <v>87.98</v>
      </c>
      <c r="J31" s="11">
        <f t="shared" si="28"/>
        <v>647.35</v>
      </c>
      <c r="K31" s="11">
        <f t="shared" si="28"/>
        <v>618.09</v>
      </c>
      <c r="L31" s="11">
        <f t="shared" si="28"/>
        <v>367.98</v>
      </c>
      <c r="M31" s="11">
        <f t="shared" si="28"/>
        <v>481.48</v>
      </c>
      <c r="N31" s="11">
        <f t="shared" si="28"/>
        <v>486.45</v>
      </c>
      <c r="O31" s="11">
        <f t="shared" si="28"/>
        <v>363.95</v>
      </c>
      <c r="P31" s="11">
        <f t="shared" si="28"/>
        <v>531.27</v>
      </c>
      <c r="Q31" s="11">
        <f t="shared" ref="Q31" si="29">SUM(Q32:Q37)</f>
        <v>1560.3400000000001</v>
      </c>
      <c r="R31" s="11">
        <f t="shared" ref="R31" si="30">SUM(R32:R37)</f>
        <v>0</v>
      </c>
      <c r="S31" s="11">
        <f t="shared" ref="S31" si="31">SUM(S32:S37)</f>
        <v>0</v>
      </c>
      <c r="T31" s="11">
        <f t="shared" ref="T31" si="32">SUM(T32:T37)</f>
        <v>0</v>
      </c>
      <c r="U31" s="11">
        <f t="shared" ref="U31" si="33">SUM(U32:U37)</f>
        <v>0</v>
      </c>
      <c r="V31" s="11">
        <f t="shared" ref="V31" si="34">SUM(V32:V37)</f>
        <v>0</v>
      </c>
      <c r="W31" s="11">
        <f t="shared" ref="W31" si="35">SUM(W32:W37)</f>
        <v>0</v>
      </c>
      <c r="X31" s="11">
        <f t="shared" ref="X31" si="36">SUM(X32:X37)</f>
        <v>30</v>
      </c>
      <c r="Y31" s="11">
        <f t="shared" ref="Y31" si="37">SUM(Y32:Y37)</f>
        <v>30</v>
      </c>
      <c r="Z31" s="11">
        <f t="shared" ref="Z31" si="38">SUM(Z32:Z37)</f>
        <v>30</v>
      </c>
      <c r="AA31" s="11">
        <f t="shared" ref="AA31" si="39">SUM(AA32:AA37)</f>
        <v>30</v>
      </c>
      <c r="AB31" s="11">
        <f t="shared" ref="AB31" si="40">SUM(AB32:AB37)</f>
        <v>30</v>
      </c>
    </row>
    <row r="32" spans="2:28" ht="32" customHeight="1" x14ac:dyDescent="0.3">
      <c r="B32" s="112" t="s">
        <v>133</v>
      </c>
      <c r="C32" s="91">
        <v>30</v>
      </c>
      <c r="D32" s="67"/>
      <c r="E32" s="67"/>
      <c r="F32" s="67"/>
      <c r="G32" s="67">
        <v>374</v>
      </c>
      <c r="H32" s="67">
        <v>264</v>
      </c>
      <c r="I32" s="67">
        <v>87.98</v>
      </c>
      <c r="J32" s="67"/>
      <c r="K32" s="67"/>
      <c r="L32" s="67"/>
      <c r="M32" s="67"/>
      <c r="N32" s="67"/>
      <c r="O32" s="67"/>
      <c r="P32" s="67"/>
      <c r="Q32" s="67">
        <v>1045</v>
      </c>
      <c r="R32" s="67"/>
      <c r="S32" s="67"/>
      <c r="T32" s="67"/>
      <c r="U32" s="67"/>
      <c r="V32" s="67"/>
      <c r="W32" s="67"/>
      <c r="X32" s="67">
        <v>30</v>
      </c>
      <c r="Y32" s="67">
        <v>30</v>
      </c>
      <c r="Z32" s="67">
        <v>30</v>
      </c>
      <c r="AA32" s="67">
        <v>30</v>
      </c>
      <c r="AB32" s="67">
        <v>30</v>
      </c>
    </row>
    <row r="33" spans="2:28" ht="32" customHeight="1" x14ac:dyDescent="0.3">
      <c r="B33" s="112" t="s">
        <v>16</v>
      </c>
      <c r="C33" s="91">
        <v>150</v>
      </c>
      <c r="D33" s="67"/>
      <c r="E33" s="67">
        <v>51.32</v>
      </c>
      <c r="F33" s="67">
        <v>206.19</v>
      </c>
      <c r="G33" s="67">
        <v>2045.71</v>
      </c>
      <c r="H33" s="67">
        <v>3833.13</v>
      </c>
      <c r="I33" s="67"/>
      <c r="J33" s="67">
        <v>647.35</v>
      </c>
      <c r="K33" s="67">
        <v>618.09</v>
      </c>
      <c r="L33" s="67">
        <v>367.98</v>
      </c>
      <c r="M33" s="67">
        <v>481.48</v>
      </c>
      <c r="N33" s="67">
        <v>486.45</v>
      </c>
      <c r="O33" s="67">
        <v>363.95</v>
      </c>
      <c r="P33" s="67">
        <v>531.27</v>
      </c>
      <c r="Q33" s="67">
        <v>515.34</v>
      </c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</row>
    <row r="34" spans="2:28" ht="32" customHeight="1" x14ac:dyDescent="0.3">
      <c r="B34" s="112" t="s">
        <v>134</v>
      </c>
      <c r="C34" s="91">
        <v>50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</row>
    <row r="35" spans="2:28" ht="32" customHeight="1" x14ac:dyDescent="0.25">
      <c r="B35" s="72"/>
      <c r="C35" s="91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</row>
    <row r="36" spans="2:28" ht="32" customHeight="1" x14ac:dyDescent="0.25">
      <c r="B36" s="72"/>
      <c r="C36" s="91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</row>
    <row r="37" spans="2:28" ht="32" customHeight="1" x14ac:dyDescent="0.25">
      <c r="B37" s="6"/>
      <c r="C37" s="91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</row>
    <row r="38" spans="2:28" ht="32" customHeight="1" x14ac:dyDescent="0.25">
      <c r="B38" s="72"/>
      <c r="C38" s="14"/>
      <c r="D38" s="67"/>
    </row>
    <row r="39" spans="2:28" s="2" customFormat="1" ht="32" customHeight="1" x14ac:dyDescent="0.25">
      <c r="B39" s="5" t="s">
        <v>17</v>
      </c>
      <c r="C39" s="13">
        <f>SUM(C40:C47)</f>
        <v>1514.7033333333331</v>
      </c>
      <c r="D39" s="76"/>
      <c r="E39" s="11">
        <f>SUM(E40:E47)</f>
        <v>2527.1233333333334</v>
      </c>
      <c r="F39" s="11">
        <f t="shared" ref="F39:AB39" si="41">SUM(F40:F47)</f>
        <v>1030.8533333333332</v>
      </c>
      <c r="G39" s="11">
        <f t="shared" si="41"/>
        <v>894.5333333333333</v>
      </c>
      <c r="H39" s="11">
        <f t="shared" si="41"/>
        <v>1075.2533333333333</v>
      </c>
      <c r="I39" s="11">
        <f t="shared" si="41"/>
        <v>905.12333333333333</v>
      </c>
      <c r="J39" s="11">
        <f t="shared" si="41"/>
        <v>2110.2633333333333</v>
      </c>
      <c r="K39" s="11">
        <f t="shared" si="41"/>
        <v>1265.8833333333332</v>
      </c>
      <c r="L39" s="11">
        <f t="shared" si="41"/>
        <v>1206.9433333333334</v>
      </c>
      <c r="M39" s="11">
        <f t="shared" si="41"/>
        <v>1449.9233333333334</v>
      </c>
      <c r="N39" s="11">
        <f t="shared" si="41"/>
        <v>2128.1733333333332</v>
      </c>
      <c r="O39" s="11">
        <f t="shared" si="41"/>
        <v>1491.3933333333332</v>
      </c>
      <c r="P39" s="11">
        <f t="shared" si="41"/>
        <v>1216.2033333333334</v>
      </c>
      <c r="Q39" s="11">
        <f t="shared" si="41"/>
        <v>1290.3933333333332</v>
      </c>
      <c r="R39" s="11">
        <f t="shared" si="41"/>
        <v>911.39333333333332</v>
      </c>
      <c r="S39" s="11">
        <f t="shared" si="41"/>
        <v>440.83333333333331</v>
      </c>
      <c r="T39" s="11">
        <f t="shared" si="41"/>
        <v>440.83333333333331</v>
      </c>
      <c r="U39" s="11">
        <f t="shared" si="41"/>
        <v>440.83333333333331</v>
      </c>
      <c r="V39" s="11">
        <f t="shared" si="41"/>
        <v>440.83333333333331</v>
      </c>
      <c r="W39" s="11">
        <f t="shared" si="41"/>
        <v>440.83333333333331</v>
      </c>
      <c r="X39" s="11">
        <f t="shared" si="41"/>
        <v>440.83333333333331</v>
      </c>
      <c r="Y39" s="11">
        <f t="shared" si="41"/>
        <v>440.83333333333331</v>
      </c>
      <c r="Z39" s="11">
        <f t="shared" si="41"/>
        <v>440.83333333333331</v>
      </c>
      <c r="AA39" s="11">
        <f t="shared" si="41"/>
        <v>440.83333333333331</v>
      </c>
      <c r="AB39" s="11">
        <f t="shared" si="41"/>
        <v>440.83333333333331</v>
      </c>
    </row>
    <row r="40" spans="2:28" ht="32" customHeight="1" x14ac:dyDescent="0.3">
      <c r="B40" s="111" t="s">
        <v>135</v>
      </c>
      <c r="C40" s="91">
        <v>402.75</v>
      </c>
      <c r="D40" s="67"/>
      <c r="E40" s="67">
        <v>402.75</v>
      </c>
      <c r="F40" s="67">
        <v>402.75</v>
      </c>
      <c r="G40" s="67">
        <v>402.75</v>
      </c>
      <c r="H40" s="67">
        <v>414.12</v>
      </c>
      <c r="I40" s="67">
        <v>414.12</v>
      </c>
      <c r="J40" s="67">
        <v>414.12</v>
      </c>
      <c r="K40" s="67">
        <v>414.12</v>
      </c>
      <c r="L40" s="67">
        <v>414.12</v>
      </c>
      <c r="M40" s="67">
        <v>414.12</v>
      </c>
      <c r="N40" s="67">
        <v>414.12</v>
      </c>
      <c r="O40" s="67">
        <v>414.12</v>
      </c>
      <c r="P40" s="67">
        <v>414.12</v>
      </c>
      <c r="Q40" s="67">
        <v>414.12</v>
      </c>
      <c r="R40" s="67">
        <v>414.12</v>
      </c>
      <c r="S40" s="67"/>
      <c r="T40" s="67"/>
      <c r="U40" s="67"/>
      <c r="V40" s="67"/>
      <c r="W40" s="67"/>
      <c r="X40" s="67"/>
      <c r="Y40" s="67"/>
      <c r="Z40" s="67"/>
      <c r="AA40" s="67"/>
      <c r="AB40" s="67"/>
    </row>
    <row r="41" spans="2:28" ht="32" customHeight="1" x14ac:dyDescent="0.3">
      <c r="B41" s="111" t="s">
        <v>18</v>
      </c>
      <c r="C41" s="91">
        <v>183.12</v>
      </c>
      <c r="D41" s="67"/>
      <c r="E41" s="67">
        <v>183.12</v>
      </c>
      <c r="F41" s="67" t="s">
        <v>138</v>
      </c>
      <c r="G41" s="67"/>
      <c r="H41" s="67"/>
      <c r="I41" s="67"/>
      <c r="J41" s="67"/>
      <c r="K41" s="67">
        <v>84.71</v>
      </c>
      <c r="L41" s="67">
        <v>56.44</v>
      </c>
      <c r="M41" s="67">
        <v>56.44</v>
      </c>
      <c r="N41" s="67">
        <v>56.44</v>
      </c>
      <c r="O41" s="67">
        <v>56.44</v>
      </c>
      <c r="P41" s="67">
        <v>56.44</v>
      </c>
      <c r="Q41" s="67">
        <v>56.44</v>
      </c>
      <c r="R41" s="67">
        <v>56.44</v>
      </c>
      <c r="S41" s="67"/>
      <c r="T41" s="67"/>
      <c r="U41" s="67"/>
      <c r="V41" s="67"/>
      <c r="W41" s="67"/>
      <c r="X41" s="67"/>
      <c r="Y41" s="67"/>
      <c r="Z41" s="67"/>
      <c r="AA41" s="67"/>
      <c r="AB41" s="67"/>
    </row>
    <row r="42" spans="2:28" ht="32" customHeight="1" x14ac:dyDescent="0.3">
      <c r="B42" s="112" t="s">
        <v>19</v>
      </c>
      <c r="C42" s="91">
        <v>238</v>
      </c>
      <c r="D42" s="67"/>
      <c r="E42" s="67">
        <v>1353.69</v>
      </c>
      <c r="F42" s="67" t="s">
        <v>138</v>
      </c>
      <c r="G42" s="67"/>
      <c r="H42" s="67"/>
      <c r="I42" s="67"/>
      <c r="J42" s="67">
        <v>263.8</v>
      </c>
      <c r="K42" s="67">
        <v>284.25</v>
      </c>
      <c r="L42" s="67">
        <v>48.2</v>
      </c>
      <c r="M42" s="67">
        <v>-46.8</v>
      </c>
      <c r="N42" s="67">
        <v>112</v>
      </c>
      <c r="O42" s="67">
        <v>0</v>
      </c>
      <c r="P42" s="67">
        <v>0</v>
      </c>
      <c r="Q42" s="67">
        <v>0</v>
      </c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</row>
    <row r="43" spans="2:28" ht="32" customHeight="1" x14ac:dyDescent="0.3">
      <c r="B43" s="112" t="s">
        <v>20</v>
      </c>
      <c r="C43" s="91">
        <v>250</v>
      </c>
      <c r="D43" s="67"/>
      <c r="E43" s="67">
        <v>146.72999999999999</v>
      </c>
      <c r="F43" s="67">
        <v>187.27</v>
      </c>
      <c r="G43" s="67">
        <v>50.95</v>
      </c>
      <c r="H43" s="67">
        <v>123.9</v>
      </c>
      <c r="I43" s="67">
        <v>50.17</v>
      </c>
      <c r="J43" s="67">
        <v>261.31</v>
      </c>
      <c r="K43" s="67">
        <v>41.97</v>
      </c>
      <c r="L43" s="67">
        <v>247.35</v>
      </c>
      <c r="M43" s="67">
        <v>585.33000000000004</v>
      </c>
      <c r="N43" s="67">
        <v>854.78</v>
      </c>
      <c r="O43" s="67">
        <v>580</v>
      </c>
      <c r="P43" s="67">
        <v>304.81</v>
      </c>
      <c r="Q43" s="67">
        <v>379</v>
      </c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</row>
    <row r="44" spans="2:28" ht="32" customHeight="1" x14ac:dyDescent="0.3">
      <c r="B44" s="112" t="s">
        <v>136</v>
      </c>
      <c r="C44" s="91"/>
      <c r="D44" s="67"/>
      <c r="E44" s="67"/>
      <c r="F44" s="67"/>
      <c r="G44" s="67"/>
      <c r="H44" s="67">
        <v>96.4</v>
      </c>
      <c r="I44" s="67"/>
      <c r="J44" s="67">
        <v>730.2</v>
      </c>
      <c r="K44" s="67">
        <v>0</v>
      </c>
      <c r="L44" s="67">
        <v>0</v>
      </c>
      <c r="M44" s="67">
        <v>0</v>
      </c>
      <c r="N44" s="67">
        <v>250</v>
      </c>
      <c r="O44" s="67">
        <v>0</v>
      </c>
      <c r="P44" s="67">
        <v>0</v>
      </c>
      <c r="Q44" s="67">
        <v>0</v>
      </c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</row>
    <row r="45" spans="2:28" ht="32" customHeight="1" x14ac:dyDescent="0.3">
      <c r="B45" s="112" t="s">
        <v>137</v>
      </c>
      <c r="C45" s="91">
        <v>440.83333333333331</v>
      </c>
      <c r="D45" s="67"/>
      <c r="E45" s="67">
        <v>440.83333333333331</v>
      </c>
      <c r="F45" s="67">
        <v>440.83333333333331</v>
      </c>
      <c r="G45" s="67">
        <v>440.83333333333331</v>
      </c>
      <c r="H45" s="67">
        <v>440.83333333333331</v>
      </c>
      <c r="I45" s="67">
        <v>440.83333333333331</v>
      </c>
      <c r="J45" s="67">
        <v>440.83333333333331</v>
      </c>
      <c r="K45" s="67">
        <v>440.83333333333331</v>
      </c>
      <c r="L45" s="67">
        <v>440.83333333333331</v>
      </c>
      <c r="M45" s="67">
        <v>440.83333333333331</v>
      </c>
      <c r="N45" s="67">
        <v>440.83333333333331</v>
      </c>
      <c r="O45" s="67">
        <v>440.83333333333331</v>
      </c>
      <c r="P45" s="67">
        <v>440.83333333333331</v>
      </c>
      <c r="Q45" s="67">
        <v>440.83333333333331</v>
      </c>
      <c r="R45" s="67">
        <v>440.83333333333331</v>
      </c>
      <c r="S45" s="67">
        <v>440.83333333333331</v>
      </c>
      <c r="T45" s="67">
        <v>440.83333333333331</v>
      </c>
      <c r="U45" s="67">
        <v>440.83333333333331</v>
      </c>
      <c r="V45" s="67">
        <v>440.83333333333331</v>
      </c>
      <c r="W45" s="67">
        <v>440.83333333333331</v>
      </c>
      <c r="X45" s="67">
        <v>440.83333333333331</v>
      </c>
      <c r="Y45" s="67">
        <v>440.83333333333331</v>
      </c>
      <c r="Z45" s="67">
        <v>440.83333333333331</v>
      </c>
      <c r="AA45" s="67">
        <v>440.83333333333331</v>
      </c>
      <c r="AB45" s="67">
        <v>440.83333333333331</v>
      </c>
    </row>
    <row r="46" spans="2:28" ht="32" customHeight="1" x14ac:dyDescent="0.25">
      <c r="B46" s="72"/>
      <c r="C46" s="91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</row>
    <row r="47" spans="2:28" ht="32" customHeight="1" x14ac:dyDescent="0.25">
      <c r="B47" s="72"/>
      <c r="C47" s="91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</row>
    <row r="48" spans="2:28" ht="32" customHeight="1" x14ac:dyDescent="0.25">
      <c r="B48" s="72"/>
      <c r="C48" s="14"/>
      <c r="D48" s="67"/>
    </row>
    <row r="49" spans="2:28" s="2" customFormat="1" ht="32" customHeight="1" x14ac:dyDescent="0.25">
      <c r="B49" s="5" t="s">
        <v>21</v>
      </c>
      <c r="C49" s="13">
        <f>SUM(C50:C56)</f>
        <v>1100</v>
      </c>
      <c r="D49" s="76"/>
      <c r="E49" s="11">
        <f t="shared" ref="E49:P49" si="42">SUM(E50:E56)</f>
        <v>1625.9799999999998</v>
      </c>
      <c r="F49" s="11">
        <f t="shared" si="42"/>
        <v>2777.5699999999997</v>
      </c>
      <c r="G49" s="11">
        <f t="shared" si="42"/>
        <v>1438.42</v>
      </c>
      <c r="H49" s="11">
        <f t="shared" si="42"/>
        <v>1147.5800000000002</v>
      </c>
      <c r="I49" s="11">
        <f t="shared" si="42"/>
        <v>543.05999999999995</v>
      </c>
      <c r="J49" s="11">
        <f t="shared" si="42"/>
        <v>723.14</v>
      </c>
      <c r="K49" s="11">
        <f t="shared" si="42"/>
        <v>1622.83</v>
      </c>
      <c r="L49" s="11">
        <f t="shared" si="42"/>
        <v>808.17</v>
      </c>
      <c r="M49" s="11">
        <f t="shared" si="42"/>
        <v>1053.56</v>
      </c>
      <c r="N49" s="11">
        <f t="shared" si="42"/>
        <v>1476.82</v>
      </c>
      <c r="O49" s="11">
        <f t="shared" si="42"/>
        <v>3947.62</v>
      </c>
      <c r="P49" s="11">
        <f t="shared" si="42"/>
        <v>2389.35</v>
      </c>
      <c r="Q49" s="11">
        <f t="shared" ref="Q49" si="43">SUM(Q50:Q56)</f>
        <v>1006.26</v>
      </c>
      <c r="R49" s="11">
        <f t="shared" ref="R49" si="44">SUM(R50:R56)</f>
        <v>0</v>
      </c>
      <c r="S49" s="11">
        <f t="shared" ref="S49" si="45">SUM(S50:S56)</f>
        <v>0</v>
      </c>
      <c r="T49" s="11">
        <f t="shared" ref="T49" si="46">SUM(T50:T56)</f>
        <v>0</v>
      </c>
      <c r="U49" s="11">
        <f t="shared" ref="U49" si="47">SUM(U50:U56)</f>
        <v>0</v>
      </c>
      <c r="V49" s="11">
        <f t="shared" ref="V49" si="48">SUM(V50:V56)</f>
        <v>0</v>
      </c>
      <c r="W49" s="11">
        <f t="shared" ref="W49" si="49">SUM(W50:W56)</f>
        <v>0</v>
      </c>
      <c r="X49" s="11">
        <f t="shared" ref="X49" si="50">SUM(X50:X56)</f>
        <v>0</v>
      </c>
      <c r="Y49" s="11">
        <f t="shared" ref="Y49" si="51">SUM(Y50:Y56)</f>
        <v>0</v>
      </c>
      <c r="Z49" s="11">
        <f t="shared" ref="Z49" si="52">SUM(Z50:Z56)</f>
        <v>500</v>
      </c>
      <c r="AA49" s="11">
        <f t="shared" ref="AA49" si="53">SUM(AA50:AA56)</f>
        <v>500</v>
      </c>
      <c r="AB49" s="11">
        <f t="shared" ref="AB49" si="54">SUM(AB50:AB56)</f>
        <v>500</v>
      </c>
    </row>
    <row r="50" spans="2:28" ht="32" customHeight="1" x14ac:dyDescent="0.3">
      <c r="B50" s="112" t="s">
        <v>22</v>
      </c>
      <c r="C50" s="91">
        <v>100</v>
      </c>
      <c r="D50" s="67"/>
      <c r="E50" s="67">
        <v>942.56</v>
      </c>
      <c r="F50" s="67">
        <v>155.93</v>
      </c>
      <c r="G50" s="67">
        <v>730.8</v>
      </c>
      <c r="H50" s="67">
        <v>435.1</v>
      </c>
      <c r="I50" s="67"/>
      <c r="J50" s="67">
        <v>0</v>
      </c>
      <c r="K50" s="67">
        <v>506.67</v>
      </c>
      <c r="L50" s="67">
        <v>125.62</v>
      </c>
      <c r="M50" s="67">
        <v>121.96</v>
      </c>
      <c r="N50" s="67">
        <v>627.41</v>
      </c>
      <c r="O50" s="67">
        <v>1687.73</v>
      </c>
      <c r="P50" s="67">
        <v>993.87</v>
      </c>
      <c r="Q50" s="67">
        <v>24.85</v>
      </c>
      <c r="R50" s="67"/>
      <c r="S50" s="67"/>
      <c r="T50" s="67"/>
      <c r="U50" s="67"/>
      <c r="V50" s="67"/>
      <c r="W50" s="67"/>
      <c r="X50" s="67"/>
      <c r="Y50" s="67"/>
      <c r="Z50" s="67">
        <v>0</v>
      </c>
      <c r="AA50" s="67">
        <v>0</v>
      </c>
      <c r="AB50" s="67">
        <v>0</v>
      </c>
    </row>
    <row r="51" spans="2:28" ht="32" customHeight="1" x14ac:dyDescent="0.3">
      <c r="B51" s="112" t="s">
        <v>23</v>
      </c>
      <c r="C51" s="91">
        <v>200</v>
      </c>
      <c r="D51" s="67"/>
      <c r="E51" s="67">
        <v>99</v>
      </c>
      <c r="F51" s="67">
        <v>61.51</v>
      </c>
      <c r="G51" s="67">
        <v>95.7</v>
      </c>
      <c r="H51" s="67">
        <v>232</v>
      </c>
      <c r="I51" s="67">
        <v>79</v>
      </c>
      <c r="J51" s="67">
        <v>0</v>
      </c>
      <c r="K51" s="67">
        <v>0</v>
      </c>
      <c r="L51" s="67">
        <v>138</v>
      </c>
      <c r="M51" s="67">
        <v>0</v>
      </c>
      <c r="N51" s="67">
        <v>0</v>
      </c>
      <c r="O51" s="67">
        <v>0</v>
      </c>
      <c r="P51" s="67">
        <v>119.95</v>
      </c>
      <c r="Q51" s="67">
        <v>98</v>
      </c>
      <c r="R51" s="67"/>
      <c r="S51" s="67"/>
      <c r="T51" s="67"/>
      <c r="U51" s="67"/>
      <c r="V51" s="67"/>
      <c r="W51" s="67"/>
      <c r="X51" s="67"/>
      <c r="Y51" s="67"/>
      <c r="Z51" s="67">
        <v>300</v>
      </c>
      <c r="AA51" s="67">
        <v>300</v>
      </c>
      <c r="AB51" s="67">
        <v>300</v>
      </c>
    </row>
    <row r="52" spans="2:28" ht="32" customHeight="1" x14ac:dyDescent="0.3">
      <c r="B52" s="112" t="s">
        <v>139</v>
      </c>
      <c r="C52" s="91">
        <v>200</v>
      </c>
      <c r="D52" s="67"/>
      <c r="E52" s="67">
        <v>62.12</v>
      </c>
      <c r="F52" s="67">
        <v>129.1</v>
      </c>
      <c r="G52" s="67">
        <v>79.900000000000006</v>
      </c>
      <c r="H52" s="67"/>
      <c r="I52" s="67">
        <v>8.85</v>
      </c>
      <c r="J52" s="67">
        <v>289.20999999999998</v>
      </c>
      <c r="K52" s="67">
        <v>573.09</v>
      </c>
      <c r="L52" s="67">
        <v>26.5</v>
      </c>
      <c r="M52" s="67">
        <v>67.27</v>
      </c>
      <c r="N52" s="67">
        <v>79.72</v>
      </c>
      <c r="O52" s="67">
        <v>1215.93</v>
      </c>
      <c r="P52" s="67">
        <v>725.48</v>
      </c>
      <c r="Q52" s="67">
        <v>221.41</v>
      </c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</row>
    <row r="53" spans="2:28" ht="32" customHeight="1" x14ac:dyDescent="0.3">
      <c r="B53" s="112" t="s">
        <v>24</v>
      </c>
      <c r="C53" s="91">
        <v>200</v>
      </c>
      <c r="D53" s="67"/>
      <c r="E53" s="67">
        <v>264.08</v>
      </c>
      <c r="F53" s="67">
        <v>299.06</v>
      </c>
      <c r="G53" s="67">
        <v>121.8</v>
      </c>
      <c r="H53" s="67">
        <v>385.28</v>
      </c>
      <c r="I53" s="67">
        <v>371.71</v>
      </c>
      <c r="J53" s="67">
        <v>327.93</v>
      </c>
      <c r="K53" s="67">
        <v>283.31</v>
      </c>
      <c r="L53" s="67">
        <v>354.96</v>
      </c>
      <c r="M53" s="67">
        <v>740.33</v>
      </c>
      <c r="N53" s="67">
        <v>538.35</v>
      </c>
      <c r="O53" s="67">
        <v>716.76</v>
      </c>
      <c r="P53" s="67">
        <v>343.05</v>
      </c>
      <c r="Q53" s="67">
        <v>358.05</v>
      </c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</row>
    <row r="54" spans="2:28" ht="32" customHeight="1" x14ac:dyDescent="0.3">
      <c r="B54" s="112" t="s">
        <v>25</v>
      </c>
      <c r="C54" s="91">
        <v>200</v>
      </c>
      <c r="D54" s="67"/>
      <c r="E54" s="67">
        <v>168.22</v>
      </c>
      <c r="F54" s="67">
        <v>302.81</v>
      </c>
      <c r="G54" s="67">
        <v>410.22</v>
      </c>
      <c r="H54" s="67">
        <v>95.2</v>
      </c>
      <c r="I54" s="67">
        <v>83.5</v>
      </c>
      <c r="J54" s="67">
        <v>106</v>
      </c>
      <c r="K54" s="67">
        <v>259.76</v>
      </c>
      <c r="L54" s="67">
        <v>163.09</v>
      </c>
      <c r="M54" s="67">
        <v>124</v>
      </c>
      <c r="N54" s="67">
        <v>231.34</v>
      </c>
      <c r="O54" s="67">
        <v>327.2</v>
      </c>
      <c r="P54" s="67">
        <v>207</v>
      </c>
      <c r="Q54" s="67">
        <v>303.95</v>
      </c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</row>
    <row r="55" spans="2:28" ht="32" customHeight="1" x14ac:dyDescent="0.3">
      <c r="B55" s="112" t="s">
        <v>140</v>
      </c>
      <c r="C55" s="91">
        <v>200</v>
      </c>
      <c r="D55" s="67"/>
      <c r="E55" s="67">
        <v>90</v>
      </c>
      <c r="F55" s="67">
        <v>1829.16</v>
      </c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>
        <v>200</v>
      </c>
      <c r="AA55" s="67">
        <v>200</v>
      </c>
      <c r="AB55" s="67">
        <v>200</v>
      </c>
    </row>
    <row r="56" spans="2:28" ht="32" customHeight="1" x14ac:dyDescent="0.25">
      <c r="B56" s="72"/>
      <c r="C56" s="91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</row>
    <row r="57" spans="2:28" ht="32" customHeight="1" x14ac:dyDescent="0.25">
      <c r="B57" s="72"/>
      <c r="C57" s="14"/>
      <c r="D57" s="67"/>
    </row>
    <row r="58" spans="2:28" s="2" customFormat="1" ht="32" customHeight="1" x14ac:dyDescent="0.25">
      <c r="B58" s="5" t="s">
        <v>26</v>
      </c>
      <c r="C58" s="13">
        <f>SUM(C59:C62)</f>
        <v>397.5</v>
      </c>
      <c r="D58" s="76"/>
      <c r="E58" s="11">
        <f>SUM(E59:E62)</f>
        <v>630.83333333333337</v>
      </c>
      <c r="F58" s="11">
        <f t="shared" ref="F58:AB58" si="55">SUM(F59:F62)</f>
        <v>630.83333333333337</v>
      </c>
      <c r="G58" s="11">
        <f t="shared" si="55"/>
        <v>685.83333333333337</v>
      </c>
      <c r="H58" s="11">
        <f t="shared" si="55"/>
        <v>713.31666666666672</v>
      </c>
      <c r="I58" s="11">
        <f t="shared" si="55"/>
        <v>623.31666666666672</v>
      </c>
      <c r="J58" s="11">
        <f t="shared" si="55"/>
        <v>600.31666666666672</v>
      </c>
      <c r="K58" s="11">
        <f t="shared" si="55"/>
        <v>448.06333333333339</v>
      </c>
      <c r="L58" s="11">
        <f t="shared" si="55"/>
        <v>454.73</v>
      </c>
      <c r="M58" s="11">
        <f t="shared" si="55"/>
        <v>454.73</v>
      </c>
      <c r="N58" s="11">
        <f t="shared" si="55"/>
        <v>454.73</v>
      </c>
      <c r="O58" s="11">
        <f t="shared" si="55"/>
        <v>454.73</v>
      </c>
      <c r="P58" s="11">
        <f t="shared" si="55"/>
        <v>454.73</v>
      </c>
      <c r="Q58" s="11">
        <f t="shared" si="55"/>
        <v>454.73</v>
      </c>
      <c r="R58" s="11">
        <f t="shared" si="55"/>
        <v>454.73</v>
      </c>
      <c r="S58" s="11">
        <f t="shared" si="55"/>
        <v>454.73</v>
      </c>
      <c r="T58" s="11">
        <f t="shared" si="55"/>
        <v>454.73</v>
      </c>
      <c r="U58" s="11">
        <f t="shared" si="55"/>
        <v>454.73</v>
      </c>
      <c r="V58" s="11">
        <f t="shared" si="55"/>
        <v>454.73</v>
      </c>
      <c r="W58" s="11">
        <f t="shared" si="55"/>
        <v>454.73</v>
      </c>
      <c r="X58" s="11">
        <f t="shared" si="55"/>
        <v>454.73</v>
      </c>
      <c r="Y58" s="11">
        <f t="shared" si="55"/>
        <v>454.73</v>
      </c>
      <c r="Z58" s="11">
        <f t="shared" si="55"/>
        <v>454.73</v>
      </c>
      <c r="AA58" s="11">
        <f t="shared" si="55"/>
        <v>454.73</v>
      </c>
      <c r="AB58" s="11">
        <f t="shared" si="55"/>
        <v>454.73</v>
      </c>
    </row>
    <row r="59" spans="2:28" ht="32" customHeight="1" x14ac:dyDescent="0.3">
      <c r="B59" s="111" t="s">
        <v>141</v>
      </c>
      <c r="C59" s="91">
        <v>0</v>
      </c>
      <c r="D59" s="67"/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/>
      <c r="Z59" s="67"/>
      <c r="AA59" s="67"/>
      <c r="AB59" s="67"/>
    </row>
    <row r="60" spans="2:28" ht="32" customHeight="1" x14ac:dyDescent="0.3">
      <c r="B60" s="111" t="s">
        <v>142</v>
      </c>
      <c r="C60" s="91">
        <v>147.5</v>
      </c>
      <c r="D60" s="67"/>
      <c r="E60" s="67">
        <v>140.83333333333334</v>
      </c>
      <c r="F60" s="67">
        <v>140.83333333333334</v>
      </c>
      <c r="G60" s="67">
        <v>140.83333333333334</v>
      </c>
      <c r="H60" s="67">
        <v>233.83333333333334</v>
      </c>
      <c r="I60" s="67">
        <v>140.83333333333334</v>
      </c>
      <c r="J60" s="67">
        <v>140.83333333333334</v>
      </c>
      <c r="K60" s="67">
        <v>140.83333333333334</v>
      </c>
      <c r="L60" s="67">
        <v>147.5</v>
      </c>
      <c r="M60" s="67">
        <v>147.5</v>
      </c>
      <c r="N60" s="67">
        <v>147.5</v>
      </c>
      <c r="O60" s="67">
        <v>147.5</v>
      </c>
      <c r="P60" s="67">
        <v>147.5</v>
      </c>
      <c r="Q60" s="67">
        <v>147.5</v>
      </c>
      <c r="R60" s="67">
        <v>147.5</v>
      </c>
      <c r="S60" s="67">
        <v>147.5</v>
      </c>
      <c r="T60" s="67">
        <v>147.5</v>
      </c>
      <c r="U60" s="67">
        <v>147.5</v>
      </c>
      <c r="V60" s="67">
        <v>147.5</v>
      </c>
      <c r="W60" s="67">
        <v>147.5</v>
      </c>
      <c r="X60" s="67">
        <v>147.5</v>
      </c>
      <c r="Y60" s="67">
        <v>147.5</v>
      </c>
      <c r="Z60" s="67">
        <v>147.5</v>
      </c>
      <c r="AA60" s="67">
        <v>147.5</v>
      </c>
      <c r="AB60" s="67">
        <v>147.5</v>
      </c>
    </row>
    <row r="61" spans="2:28" ht="32" customHeight="1" x14ac:dyDescent="0.3">
      <c r="B61" s="111" t="s">
        <v>143</v>
      </c>
      <c r="C61" s="91">
        <v>250</v>
      </c>
      <c r="D61" s="67"/>
      <c r="E61" s="67">
        <v>250</v>
      </c>
      <c r="F61" s="67">
        <v>250</v>
      </c>
      <c r="G61" s="67">
        <v>250</v>
      </c>
      <c r="H61" s="67">
        <v>270</v>
      </c>
      <c r="I61" s="67">
        <v>273</v>
      </c>
      <c r="J61" s="67">
        <v>250</v>
      </c>
      <c r="K61" s="67">
        <v>250</v>
      </c>
      <c r="L61" s="67">
        <v>250</v>
      </c>
      <c r="M61" s="67">
        <v>250</v>
      </c>
      <c r="N61" s="67">
        <v>250</v>
      </c>
      <c r="O61" s="67">
        <v>250</v>
      </c>
      <c r="P61" s="67">
        <v>250</v>
      </c>
      <c r="Q61" s="67">
        <v>250</v>
      </c>
      <c r="R61" s="67">
        <v>250</v>
      </c>
      <c r="S61" s="67">
        <v>250</v>
      </c>
      <c r="T61" s="67">
        <v>250</v>
      </c>
      <c r="U61" s="67">
        <v>250</v>
      </c>
      <c r="V61" s="67">
        <v>250</v>
      </c>
      <c r="W61" s="67">
        <v>250</v>
      </c>
      <c r="X61" s="67">
        <v>250</v>
      </c>
      <c r="Y61" s="67">
        <v>250</v>
      </c>
      <c r="Z61" s="67">
        <v>250</v>
      </c>
      <c r="AA61" s="67">
        <v>250</v>
      </c>
      <c r="AB61" s="67">
        <v>250</v>
      </c>
    </row>
    <row r="62" spans="2:28" ht="32" customHeight="1" x14ac:dyDescent="0.3">
      <c r="B62" s="111" t="s">
        <v>144</v>
      </c>
      <c r="C62" s="91"/>
      <c r="D62" s="67"/>
      <c r="E62" s="67">
        <v>240</v>
      </c>
      <c r="F62" s="67">
        <v>240</v>
      </c>
      <c r="G62" s="67">
        <v>295</v>
      </c>
      <c r="H62" s="67">
        <v>209.48333333333335</v>
      </c>
      <c r="I62" s="67">
        <v>209.48333333333335</v>
      </c>
      <c r="J62" s="67">
        <v>209.48333333333335</v>
      </c>
      <c r="K62" s="67">
        <v>57.23</v>
      </c>
      <c r="L62" s="67">
        <v>57.23</v>
      </c>
      <c r="M62" s="67">
        <v>57.23</v>
      </c>
      <c r="N62" s="67">
        <v>57.23</v>
      </c>
      <c r="O62" s="67">
        <v>57.23</v>
      </c>
      <c r="P62" s="67">
        <v>57.23</v>
      </c>
      <c r="Q62" s="67">
        <v>57.23</v>
      </c>
      <c r="R62" s="67">
        <v>57.23</v>
      </c>
      <c r="S62" s="67">
        <v>57.23</v>
      </c>
      <c r="T62" s="67">
        <v>57.23</v>
      </c>
      <c r="U62" s="67">
        <v>57.23</v>
      </c>
      <c r="V62" s="67">
        <v>57.23</v>
      </c>
      <c r="W62" s="67">
        <v>57.23</v>
      </c>
      <c r="X62" s="67">
        <v>57.23</v>
      </c>
      <c r="Y62" s="67">
        <v>57.23</v>
      </c>
      <c r="Z62" s="67">
        <v>57.23</v>
      </c>
      <c r="AA62" s="67">
        <v>57.23</v>
      </c>
      <c r="AB62" s="67">
        <v>57.23</v>
      </c>
    </row>
    <row r="63" spans="2:28" ht="32" customHeight="1" x14ac:dyDescent="0.25">
      <c r="B63" s="72"/>
      <c r="C63" s="14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</row>
    <row r="64" spans="2:28" s="2" customFormat="1" ht="32" customHeight="1" x14ac:dyDescent="0.25">
      <c r="B64" s="5" t="s">
        <v>27</v>
      </c>
      <c r="C64" s="13">
        <f>SUM(C65:C72)</f>
        <v>1100</v>
      </c>
      <c r="D64" s="76"/>
      <c r="E64" s="11">
        <f t="shared" ref="E64:P64" si="56">SUM(E65:E72)</f>
        <v>2487.876666666667</v>
      </c>
      <c r="F64" s="11">
        <f t="shared" si="56"/>
        <v>3683.896666666667</v>
      </c>
      <c r="G64" s="11">
        <f t="shared" si="56"/>
        <v>2235.8866666666668</v>
      </c>
      <c r="H64" s="11">
        <f t="shared" si="56"/>
        <v>2821.9866666666671</v>
      </c>
      <c r="I64" s="11">
        <f t="shared" si="56"/>
        <v>3604.8566666666666</v>
      </c>
      <c r="J64" s="11">
        <f t="shared" si="56"/>
        <v>4153.72</v>
      </c>
      <c r="K64" s="11">
        <f t="shared" si="56"/>
        <v>1957.2099999999998</v>
      </c>
      <c r="L64" s="11">
        <f t="shared" si="56"/>
        <v>1531.4099999999999</v>
      </c>
      <c r="M64" s="11">
        <f t="shared" si="56"/>
        <v>1724.24</v>
      </c>
      <c r="N64" s="11">
        <f t="shared" si="56"/>
        <v>1545.8700000000001</v>
      </c>
      <c r="O64" s="11">
        <f t="shared" si="56"/>
        <v>2730.5770000000002</v>
      </c>
      <c r="P64" s="11">
        <f t="shared" si="56"/>
        <v>1725.51</v>
      </c>
      <c r="Q64" s="11">
        <f t="shared" ref="Q64" si="57">SUM(Q65:Q72)</f>
        <v>2298.2300000000005</v>
      </c>
      <c r="R64" s="11">
        <f t="shared" ref="R64" si="58">SUM(R65:R72)</f>
        <v>569.04999999999995</v>
      </c>
      <c r="S64" s="11">
        <f t="shared" ref="S64" si="59">SUM(S65:S72)</f>
        <v>569.04999999999995</v>
      </c>
      <c r="T64" s="11">
        <f t="shared" ref="T64" si="60">SUM(T65:T72)</f>
        <v>569.04999999999995</v>
      </c>
      <c r="U64" s="11">
        <f t="shared" ref="U64" si="61">SUM(U65:U72)</f>
        <v>569.04999999999995</v>
      </c>
      <c r="V64" s="11">
        <f t="shared" ref="V64" si="62">SUM(V65:V72)</f>
        <v>569.04999999999995</v>
      </c>
      <c r="W64" s="11">
        <f t="shared" ref="W64" si="63">SUM(W65:W72)</f>
        <v>569.04999999999995</v>
      </c>
      <c r="X64" s="11">
        <f t="shared" ref="X64" si="64">SUM(X65:X72)</f>
        <v>569.04999999999995</v>
      </c>
      <c r="Y64" s="11">
        <f t="shared" ref="Y64" si="65">SUM(Y65:Y72)</f>
        <v>569.04999999999995</v>
      </c>
      <c r="Z64" s="11">
        <f t="shared" ref="Z64" si="66">SUM(Z65:Z72)</f>
        <v>569.04999999999995</v>
      </c>
      <c r="AA64" s="11">
        <f t="shared" ref="AA64" si="67">SUM(AA65:AA72)</f>
        <v>569.04999999999995</v>
      </c>
      <c r="AB64" s="11">
        <f t="shared" ref="AB64" si="68">SUM(AB65:AB72)</f>
        <v>569.04999999999995</v>
      </c>
    </row>
    <row r="65" spans="2:34" ht="32" customHeight="1" x14ac:dyDescent="0.3">
      <c r="B65" s="111" t="s">
        <v>145</v>
      </c>
      <c r="C65" s="91">
        <v>450</v>
      </c>
      <c r="D65" s="67"/>
      <c r="E65" s="67">
        <v>450</v>
      </c>
      <c r="F65" s="67">
        <v>450</v>
      </c>
      <c r="G65" s="67">
        <v>450</v>
      </c>
      <c r="H65" s="67">
        <v>450</v>
      </c>
      <c r="I65" s="67">
        <v>450</v>
      </c>
      <c r="J65" s="67">
        <v>450</v>
      </c>
      <c r="K65" s="67">
        <v>450</v>
      </c>
      <c r="L65" s="67">
        <v>450</v>
      </c>
      <c r="M65" s="67">
        <v>450</v>
      </c>
      <c r="N65" s="67">
        <v>450</v>
      </c>
      <c r="O65" s="67">
        <v>450</v>
      </c>
      <c r="P65" s="67">
        <v>450</v>
      </c>
      <c r="Q65" s="67">
        <v>450</v>
      </c>
      <c r="R65" s="67">
        <v>450</v>
      </c>
      <c r="S65" s="67">
        <v>450</v>
      </c>
      <c r="T65" s="67">
        <v>450</v>
      </c>
      <c r="U65" s="67">
        <v>450</v>
      </c>
      <c r="V65" s="67">
        <v>450</v>
      </c>
      <c r="W65" s="67">
        <v>450</v>
      </c>
      <c r="X65" s="67">
        <v>450</v>
      </c>
      <c r="Y65" s="67">
        <v>450</v>
      </c>
      <c r="Z65" s="67">
        <v>450</v>
      </c>
      <c r="AA65" s="67">
        <v>450</v>
      </c>
      <c r="AB65" s="67">
        <v>450</v>
      </c>
      <c r="AC65" s="1">
        <v>450</v>
      </c>
      <c r="AD65" s="1">
        <v>450</v>
      </c>
      <c r="AE65" s="1">
        <v>450</v>
      </c>
      <c r="AF65" s="1">
        <v>450</v>
      </c>
      <c r="AG65" s="1">
        <v>450</v>
      </c>
      <c r="AH65" s="1">
        <v>450</v>
      </c>
    </row>
    <row r="66" spans="2:34" ht="32" customHeight="1" x14ac:dyDescent="0.3">
      <c r="B66" s="112" t="s">
        <v>146</v>
      </c>
      <c r="C66" s="91">
        <v>320</v>
      </c>
      <c r="D66" s="67"/>
      <c r="E66" s="67">
        <v>1165.74</v>
      </c>
      <c r="F66" s="67">
        <v>257.89999999999998</v>
      </c>
      <c r="G66" s="67">
        <v>525.85</v>
      </c>
      <c r="H66" s="67">
        <v>1314.9</v>
      </c>
      <c r="I66" s="67">
        <v>643.54999999999995</v>
      </c>
      <c r="J66" s="67">
        <v>86.6</v>
      </c>
      <c r="K66" s="67">
        <v>298.60000000000002</v>
      </c>
      <c r="L66" s="67">
        <v>364.84</v>
      </c>
      <c r="M66" s="67">
        <v>187.8</v>
      </c>
      <c r="N66" s="67">
        <v>442.68</v>
      </c>
      <c r="O66" s="67">
        <v>202.14</v>
      </c>
      <c r="P66" s="67">
        <v>71.989999999999995</v>
      </c>
      <c r="Q66" s="67">
        <v>679.86</v>
      </c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</row>
    <row r="67" spans="2:34" ht="32" customHeight="1" x14ac:dyDescent="0.3">
      <c r="B67" s="111" t="s">
        <v>147</v>
      </c>
      <c r="C67" s="91">
        <v>100</v>
      </c>
      <c r="D67" s="67"/>
      <c r="E67" s="67"/>
      <c r="F67" s="67"/>
      <c r="G67" s="67"/>
      <c r="H67" s="67"/>
      <c r="I67" s="67">
        <v>886.34</v>
      </c>
      <c r="J67" s="67">
        <v>2834.05</v>
      </c>
      <c r="K67" s="67">
        <v>334.21</v>
      </c>
      <c r="L67" s="67">
        <v>195.16</v>
      </c>
      <c r="M67" s="67">
        <v>199.32</v>
      </c>
      <c r="N67" s="67">
        <v>0</v>
      </c>
      <c r="O67" s="67">
        <v>159.97</v>
      </c>
      <c r="P67" s="67">
        <v>403.79</v>
      </c>
      <c r="Q67" s="67">
        <v>97.96</v>
      </c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</row>
    <row r="68" spans="2:34" ht="32" customHeight="1" x14ac:dyDescent="0.3">
      <c r="B68" s="112" t="s">
        <v>28</v>
      </c>
      <c r="C68" s="91">
        <v>150</v>
      </c>
      <c r="D68" s="67"/>
      <c r="E68" s="67">
        <v>607.98</v>
      </c>
      <c r="F68" s="67">
        <v>2721.94</v>
      </c>
      <c r="G68" s="67">
        <v>975.63</v>
      </c>
      <c r="H68" s="67">
        <v>738.77</v>
      </c>
      <c r="I68" s="67">
        <v>1343.42</v>
      </c>
      <c r="J68" s="67">
        <v>572.07000000000005</v>
      </c>
      <c r="K68" s="67">
        <v>310.7</v>
      </c>
      <c r="L68" s="67">
        <v>402.36</v>
      </c>
      <c r="M68" s="67">
        <v>768.07</v>
      </c>
      <c r="N68" s="67">
        <v>487.48</v>
      </c>
      <c r="O68" s="67">
        <v>1598.347</v>
      </c>
      <c r="P68" s="67">
        <v>395.48</v>
      </c>
      <c r="Q68" s="67">
        <v>592.36</v>
      </c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</row>
    <row r="69" spans="2:34" ht="32" customHeight="1" x14ac:dyDescent="0.3">
      <c r="B69" s="112" t="s">
        <v>148</v>
      </c>
      <c r="C69" s="91">
        <v>80</v>
      </c>
      <c r="D69" s="67"/>
      <c r="E69" s="67">
        <v>10.1</v>
      </c>
      <c r="F69" s="67"/>
      <c r="G69" s="67">
        <v>30.35</v>
      </c>
      <c r="H69" s="67">
        <v>64.260000000000005</v>
      </c>
      <c r="I69" s="67">
        <v>27.49</v>
      </c>
      <c r="J69" s="67">
        <v>91.95</v>
      </c>
      <c r="K69" s="67">
        <v>444.65</v>
      </c>
      <c r="L69" s="67">
        <v>0</v>
      </c>
      <c r="M69" s="67">
        <v>0</v>
      </c>
      <c r="N69" s="67">
        <v>46.66</v>
      </c>
      <c r="O69" s="67">
        <v>201.07</v>
      </c>
      <c r="P69" s="67">
        <v>285.2</v>
      </c>
      <c r="Q69" s="67">
        <v>359</v>
      </c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</row>
    <row r="70" spans="2:34" ht="32" customHeight="1" x14ac:dyDescent="0.3">
      <c r="B70" s="111" t="s">
        <v>149</v>
      </c>
      <c r="C70" s="91"/>
      <c r="D70" s="67"/>
      <c r="E70" s="67">
        <v>135.00666666666666</v>
      </c>
      <c r="F70" s="67">
        <v>135.00666666666666</v>
      </c>
      <c r="G70" s="67">
        <v>135.00666666666666</v>
      </c>
      <c r="H70" s="67">
        <v>135.00666666666666</v>
      </c>
      <c r="I70" s="67">
        <v>135.00666666666666</v>
      </c>
      <c r="J70" s="67" t="s">
        <v>138</v>
      </c>
      <c r="K70" s="67" t="s">
        <v>151</v>
      </c>
      <c r="L70" s="67" t="s">
        <v>151</v>
      </c>
      <c r="M70" s="67" t="s">
        <v>151</v>
      </c>
      <c r="N70" s="67" t="s">
        <v>151</v>
      </c>
      <c r="O70" s="67" t="s">
        <v>151</v>
      </c>
      <c r="P70" s="67" t="s">
        <v>151</v>
      </c>
      <c r="Q70" s="67" t="s">
        <v>151</v>
      </c>
      <c r="R70" s="67" t="s">
        <v>151</v>
      </c>
      <c r="S70" s="67" t="s">
        <v>151</v>
      </c>
      <c r="T70" s="67" t="s">
        <v>151</v>
      </c>
      <c r="U70" s="67"/>
      <c r="V70" s="67"/>
      <c r="W70" s="67"/>
      <c r="X70" s="67"/>
      <c r="Y70" s="67"/>
      <c r="Z70" s="67"/>
      <c r="AA70" s="67"/>
      <c r="AB70" s="67"/>
    </row>
    <row r="71" spans="2:34" ht="32" customHeight="1" x14ac:dyDescent="0.3">
      <c r="B71" s="111" t="s">
        <v>150</v>
      </c>
      <c r="C71" s="91"/>
      <c r="D71" s="67"/>
      <c r="E71" s="67">
        <v>119.05</v>
      </c>
      <c r="F71" s="67">
        <v>119.05</v>
      </c>
      <c r="G71" s="67">
        <v>119.05</v>
      </c>
      <c r="H71" s="67">
        <v>119.05</v>
      </c>
      <c r="I71" s="67">
        <v>119.05</v>
      </c>
      <c r="J71" s="67">
        <v>119.05</v>
      </c>
      <c r="K71" s="67">
        <v>119.05</v>
      </c>
      <c r="L71" s="67">
        <v>119.05</v>
      </c>
      <c r="M71" s="67">
        <v>119.05</v>
      </c>
      <c r="N71" s="67">
        <v>119.05</v>
      </c>
      <c r="O71" s="67">
        <v>119.05</v>
      </c>
      <c r="P71" s="67">
        <v>119.05</v>
      </c>
      <c r="Q71" s="67">
        <v>119.05</v>
      </c>
      <c r="R71" s="67">
        <v>119.05</v>
      </c>
      <c r="S71" s="67">
        <v>119.05</v>
      </c>
      <c r="T71" s="67">
        <v>119.05</v>
      </c>
      <c r="U71" s="67">
        <v>119.05</v>
      </c>
      <c r="V71" s="67">
        <v>119.05</v>
      </c>
      <c r="W71" s="67">
        <v>119.05</v>
      </c>
      <c r="X71" s="67">
        <v>119.05</v>
      </c>
      <c r="Y71" s="67">
        <v>119.05</v>
      </c>
      <c r="Z71" s="67">
        <v>119.05</v>
      </c>
      <c r="AA71" s="67">
        <v>119.05</v>
      </c>
      <c r="AB71" s="67">
        <v>119.05</v>
      </c>
      <c r="AC71" s="1">
        <v>119.05</v>
      </c>
      <c r="AD71" s="1">
        <v>119.05</v>
      </c>
      <c r="AE71" s="1">
        <v>119.05</v>
      </c>
      <c r="AF71" s="1">
        <v>119.05</v>
      </c>
      <c r="AG71" s="1">
        <v>119.05</v>
      </c>
      <c r="AH71" s="1">
        <v>119.05</v>
      </c>
    </row>
    <row r="72" spans="2:34" ht="32" customHeight="1" x14ac:dyDescent="0.25">
      <c r="B72" s="72"/>
      <c r="C72" s="91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</row>
    <row r="73" spans="2:34" ht="32" customHeight="1" thickBot="1" x14ac:dyDescent="0.3">
      <c r="B73" s="72"/>
      <c r="C73" s="14"/>
      <c r="D73" s="67"/>
    </row>
    <row r="74" spans="2:34" s="83" customFormat="1" ht="44" customHeight="1" thickBot="1" x14ac:dyDescent="0.25">
      <c r="B74" s="79" t="s">
        <v>93</v>
      </c>
      <c r="C74" s="80">
        <f>SUM(C64+C58+C49+C39+C31+C22+C12+C5)</f>
        <v>7337.935833333333</v>
      </c>
      <c r="D74" s="81"/>
      <c r="E74" s="82">
        <f>SUM(E64+E58+E49+E39+E31+E22+E5+E12)</f>
        <v>10167.069166666666</v>
      </c>
      <c r="F74" s="82">
        <f t="shared" ref="F74:O74" si="69">SUM(F64+F58+F49+F39+F31+F22+F5+F12)</f>
        <v>10821.499166666668</v>
      </c>
      <c r="G74" s="82">
        <f t="shared" si="69"/>
        <v>11039.879166666668</v>
      </c>
      <c r="H74" s="82">
        <f t="shared" si="69"/>
        <v>13698.175833333333</v>
      </c>
      <c r="I74" s="82">
        <f t="shared" si="69"/>
        <v>8478.5224999999991</v>
      </c>
      <c r="J74" s="82">
        <f t="shared" si="69"/>
        <v>11435.565833333336</v>
      </c>
      <c r="K74" s="82">
        <f t="shared" si="69"/>
        <v>9577.0324999999993</v>
      </c>
      <c r="L74" s="82">
        <f t="shared" si="69"/>
        <v>7419.2725</v>
      </c>
      <c r="M74" s="82">
        <f t="shared" si="69"/>
        <v>8278.6725000000006</v>
      </c>
      <c r="N74" s="82">
        <f t="shared" si="69"/>
        <v>9567.2858333333334</v>
      </c>
      <c r="O74" s="82">
        <f t="shared" si="69"/>
        <v>12251.1895</v>
      </c>
      <c r="P74" s="82">
        <f t="shared" ref="P74:Y74" si="70">SUM(P64+P58+P49+P39+P31+P22+P5+P12)</f>
        <v>9832.9225000000006</v>
      </c>
      <c r="Q74" s="82">
        <f t="shared" si="70"/>
        <v>10829.512500000001</v>
      </c>
      <c r="R74" s="82">
        <f t="shared" si="70"/>
        <v>4275.9058333333332</v>
      </c>
      <c r="S74" s="82">
        <f t="shared" si="70"/>
        <v>3740.3458333333333</v>
      </c>
      <c r="T74" s="82">
        <f t="shared" si="70"/>
        <v>3740.3458333333333</v>
      </c>
      <c r="U74" s="82">
        <f t="shared" si="70"/>
        <v>3740.3458333333333</v>
      </c>
      <c r="V74" s="82">
        <f t="shared" si="70"/>
        <v>3740.3458333333333</v>
      </c>
      <c r="W74" s="82">
        <f t="shared" si="70"/>
        <v>3740.3458333333333</v>
      </c>
      <c r="X74" s="82">
        <f t="shared" si="70"/>
        <v>3770.3458333333333</v>
      </c>
      <c r="Y74" s="82">
        <f t="shared" si="70"/>
        <v>3770.3458333333333</v>
      </c>
      <c r="Z74" s="82">
        <f t="shared" ref="Z74:AB74" si="71">SUM(Z64+Z58+Z49+Z39+Z31+Z22+Z5+Z12)</f>
        <v>4270.3458333333328</v>
      </c>
      <c r="AA74" s="82">
        <f t="shared" si="71"/>
        <v>4270.3458333333328</v>
      </c>
      <c r="AB74" s="82">
        <f t="shared" si="71"/>
        <v>4270.3458333333328</v>
      </c>
    </row>
    <row r="75" spans="2:34" s="4" customFormat="1" ht="26" x14ac:dyDescent="0.2">
      <c r="B75" s="89"/>
      <c r="C75" s="9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2:34" ht="21" x14ac:dyDescent="0.25">
      <c r="B76" s="87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2:34" s="85" customFormat="1" ht="33" x14ac:dyDescent="0.4">
      <c r="C77" s="86" t="s">
        <v>91</v>
      </c>
      <c r="D77" s="84"/>
      <c r="E77" s="84">
        <f>$C$74-E$74</f>
        <v>-2829.1333333333332</v>
      </c>
      <c r="F77" s="84">
        <f t="shared" ref="F77:AB77" si="72">$C$74-F$74</f>
        <v>-3483.5633333333353</v>
      </c>
      <c r="G77" s="84">
        <f t="shared" si="72"/>
        <v>-3701.9433333333345</v>
      </c>
      <c r="H77" s="84">
        <f t="shared" si="72"/>
        <v>-6360.24</v>
      </c>
      <c r="I77" s="84">
        <f t="shared" si="72"/>
        <v>-1140.5866666666661</v>
      </c>
      <c r="J77" s="84">
        <f t="shared" si="72"/>
        <v>-4097.6300000000028</v>
      </c>
      <c r="K77" s="84">
        <f t="shared" si="72"/>
        <v>-2239.0966666666664</v>
      </c>
      <c r="L77" s="84">
        <f t="shared" si="72"/>
        <v>-81.336666666667043</v>
      </c>
      <c r="M77" s="84">
        <f t="shared" si="72"/>
        <v>-940.73666666666759</v>
      </c>
      <c r="N77" s="84">
        <f t="shared" si="72"/>
        <v>-2229.3500000000004</v>
      </c>
      <c r="O77" s="84">
        <f t="shared" si="72"/>
        <v>-4913.2536666666674</v>
      </c>
      <c r="P77" s="84">
        <f t="shared" si="72"/>
        <v>-2494.9866666666676</v>
      </c>
      <c r="Q77" s="84">
        <f t="shared" si="72"/>
        <v>-3491.5766666666677</v>
      </c>
      <c r="R77" s="84">
        <f t="shared" si="72"/>
        <v>3062.0299999999997</v>
      </c>
      <c r="S77" s="84">
        <f t="shared" si="72"/>
        <v>3597.5899999999997</v>
      </c>
      <c r="T77" s="84">
        <f t="shared" si="72"/>
        <v>3597.5899999999997</v>
      </c>
      <c r="U77" s="84">
        <f t="shared" si="72"/>
        <v>3597.5899999999997</v>
      </c>
      <c r="V77" s="84">
        <f t="shared" si="72"/>
        <v>3597.5899999999997</v>
      </c>
      <c r="W77" s="84">
        <f t="shared" si="72"/>
        <v>3597.5899999999997</v>
      </c>
      <c r="X77" s="84">
        <f t="shared" si="72"/>
        <v>3567.5899999999997</v>
      </c>
      <c r="Y77" s="84">
        <f t="shared" si="72"/>
        <v>3567.5899999999997</v>
      </c>
      <c r="Z77" s="84">
        <f t="shared" si="72"/>
        <v>3067.59</v>
      </c>
      <c r="AA77" s="84">
        <f t="shared" si="72"/>
        <v>3067.59</v>
      </c>
      <c r="AB77" s="84">
        <f t="shared" si="72"/>
        <v>3067.59</v>
      </c>
    </row>
    <row r="78" spans="2:34" ht="21" x14ac:dyDescent="0.25">
      <c r="B78" s="87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2:34" ht="21" x14ac:dyDescent="0.25">
      <c r="B79" s="88"/>
      <c r="C79" s="12"/>
      <c r="D79" s="75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2:34" ht="46" customHeight="1" x14ac:dyDescent="0.35">
      <c r="C80" s="12"/>
      <c r="D80" s="74"/>
      <c r="E80" s="16" t="s">
        <v>32</v>
      </c>
      <c r="F80" s="16"/>
      <c r="G80" s="16">
        <f>AVERAGE(E74:H74)</f>
        <v>11431.655833333334</v>
      </c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</row>
    <row r="81" spans="2:10" ht="15.75" customHeight="1" x14ac:dyDescent="0.25">
      <c r="B81" s="2"/>
      <c r="C81" s="8"/>
      <c r="D81" s="67"/>
      <c r="F81" s="15" t="s">
        <v>31</v>
      </c>
    </row>
    <row r="82" spans="2:10" ht="15.75" customHeight="1" x14ac:dyDescent="0.25">
      <c r="C82" s="8"/>
      <c r="D82" s="67"/>
    </row>
    <row r="83" spans="2:10" ht="15.75" customHeight="1" x14ac:dyDescent="0.25">
      <c r="D83" s="67"/>
    </row>
    <row r="84" spans="2:10" ht="33" x14ac:dyDescent="0.4">
      <c r="E84" s="92" t="s">
        <v>33</v>
      </c>
      <c r="F84" s="93" t="s">
        <v>107</v>
      </c>
      <c r="G84" s="93"/>
      <c r="H84" s="94"/>
      <c r="I84" s="94"/>
      <c r="J84" s="94"/>
    </row>
    <row r="85" spans="2:10" ht="33" x14ac:dyDescent="0.4">
      <c r="E85" s="92" t="s">
        <v>34</v>
      </c>
      <c r="F85" s="93" t="s">
        <v>108</v>
      </c>
      <c r="G85" s="93"/>
      <c r="H85" s="94"/>
      <c r="I85" s="94"/>
      <c r="J85" s="94"/>
    </row>
    <row r="86" spans="2:10" ht="33" x14ac:dyDescent="0.4">
      <c r="E86" s="92" t="s">
        <v>109</v>
      </c>
      <c r="F86" s="93" t="s">
        <v>110</v>
      </c>
      <c r="G86" s="93"/>
      <c r="H86" s="94"/>
      <c r="I86" s="94"/>
      <c r="J86" s="94"/>
    </row>
    <row r="87" spans="2:10" ht="26" customHeight="1" x14ac:dyDescent="0.25"/>
    <row r="88" spans="2:10" ht="26" customHeight="1" x14ac:dyDescent="0.25">
      <c r="C88" s="1"/>
      <c r="D88" s="1"/>
      <c r="E88" s="1"/>
      <c r="F88" s="1"/>
      <c r="G88" s="1"/>
    </row>
    <row r="89" spans="2:10" ht="28" customHeight="1" x14ac:dyDescent="0.25">
      <c r="C89" s="1"/>
      <c r="D89" s="1"/>
      <c r="E89" s="1"/>
      <c r="F89" s="1"/>
      <c r="G89" s="1"/>
    </row>
  </sheetData>
  <mergeCells count="4">
    <mergeCell ref="E3:O3"/>
    <mergeCell ref="B1:O1"/>
    <mergeCell ref="P3:Z3"/>
    <mergeCell ref="P1:AC1"/>
  </mergeCells>
  <conditionalFormatting sqref="E77:AB77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C7DD-574C-8A48-B6C1-BC8A17D60CC7}">
  <dimension ref="B1:F86"/>
  <sheetViews>
    <sheetView showGridLines="0" zoomScale="70" zoomScaleNormal="70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C18" sqref="C18"/>
    </sheetView>
  </sheetViews>
  <sheetFormatPr baseColWidth="10" defaultColWidth="34.1640625" defaultRowHeight="15.75" customHeight="1" x14ac:dyDescent="0.25"/>
  <cols>
    <col min="1" max="1" width="5" style="1" customWidth="1"/>
    <col min="2" max="2" width="50.33203125" style="1" customWidth="1"/>
    <col min="3" max="5" width="53.33203125" style="3" customWidth="1"/>
    <col min="6" max="16384" width="34.1640625" style="1"/>
  </cols>
  <sheetData>
    <row r="1" spans="2:6" ht="64" customHeight="1" x14ac:dyDescent="0.6">
      <c r="B1" s="597" t="s">
        <v>258</v>
      </c>
      <c r="C1" s="598"/>
      <c r="D1" s="1"/>
      <c r="E1" s="1"/>
    </row>
    <row r="3" spans="2:6" ht="35" customHeight="1" thickBot="1" x14ac:dyDescent="0.3">
      <c r="C3" s="1"/>
      <c r="D3" s="1"/>
      <c r="E3" s="1"/>
    </row>
    <row r="4" spans="2:6" s="2" customFormat="1" ht="35" customHeight="1" x14ac:dyDescent="0.25">
      <c r="B4" s="77" t="s">
        <v>259</v>
      </c>
      <c r="C4" s="529" t="s">
        <v>194</v>
      </c>
      <c r="D4" s="529" t="s">
        <v>195</v>
      </c>
      <c r="E4" s="529" t="s">
        <v>263</v>
      </c>
    </row>
    <row r="5" spans="2:6" ht="35" customHeight="1" x14ac:dyDescent="0.25">
      <c r="B5" s="71" t="s">
        <v>260</v>
      </c>
      <c r="C5" s="91">
        <f>D5/12</f>
        <v>166.66666666666666</v>
      </c>
      <c r="D5" s="91">
        <v>2000</v>
      </c>
      <c r="E5" s="91">
        <v>620</v>
      </c>
    </row>
    <row r="6" spans="2:6" ht="35" customHeight="1" x14ac:dyDescent="0.25">
      <c r="B6" s="71" t="s">
        <v>261</v>
      </c>
      <c r="C6" s="91">
        <f>D6/12</f>
        <v>83.333333333333329</v>
      </c>
      <c r="D6" s="91">
        <v>1000</v>
      </c>
      <c r="E6" s="91"/>
    </row>
    <row r="7" spans="2:6" ht="35" customHeight="1" x14ac:dyDescent="0.25">
      <c r="B7" s="71" t="s">
        <v>264</v>
      </c>
      <c r="C7" s="91">
        <f>D7/12</f>
        <v>236.42666666666665</v>
      </c>
      <c r="D7" s="91">
        <f>E5*52*0.088</f>
        <v>2837.12</v>
      </c>
      <c r="E7" s="91"/>
    </row>
    <row r="8" spans="2:6" ht="35" customHeight="1" x14ac:dyDescent="0.25">
      <c r="B8" s="71" t="s">
        <v>265</v>
      </c>
      <c r="C8" s="91">
        <f>D8/12</f>
        <v>120.83333333333333</v>
      </c>
      <c r="D8" s="91">
        <v>1450</v>
      </c>
      <c r="E8" s="91"/>
    </row>
    <row r="9" spans="2:6" ht="35" customHeight="1" x14ac:dyDescent="0.25">
      <c r="B9" s="71"/>
      <c r="C9" s="91"/>
      <c r="D9" s="91"/>
      <c r="E9" s="91"/>
    </row>
    <row r="10" spans="2:6" ht="35" customHeight="1" x14ac:dyDescent="0.25">
      <c r="B10" s="530" t="s">
        <v>262</v>
      </c>
      <c r="C10" s="531">
        <f>SUM(C5:C9)</f>
        <v>607.26</v>
      </c>
      <c r="D10" s="531">
        <f>SUM(D5:D9)</f>
        <v>7287.12</v>
      </c>
      <c r="E10" s="531"/>
    </row>
    <row r="11" spans="2:6" ht="35" customHeight="1" thickBot="1" x14ac:dyDescent="0.3"/>
    <row r="12" spans="2:6" ht="35" customHeight="1" x14ac:dyDescent="0.25">
      <c r="B12" s="77" t="s">
        <v>268</v>
      </c>
      <c r="C12" s="529" t="s">
        <v>194</v>
      </c>
      <c r="D12" s="529" t="s">
        <v>195</v>
      </c>
      <c r="E12" s="529" t="s">
        <v>263</v>
      </c>
    </row>
    <row r="13" spans="2:6" ht="35" customHeight="1" x14ac:dyDescent="0.25">
      <c r="B13" s="71" t="s">
        <v>269</v>
      </c>
      <c r="C13" s="91">
        <f>D13/12</f>
        <v>266.66666666666669</v>
      </c>
      <c r="D13" s="91">
        <v>3200</v>
      </c>
      <c r="E13" s="91">
        <f>39156/52</f>
        <v>753</v>
      </c>
      <c r="F13" s="593">
        <f>E13*52/12</f>
        <v>3263</v>
      </c>
    </row>
    <row r="14" spans="2:6" ht="35" customHeight="1" x14ac:dyDescent="0.25">
      <c r="B14" s="71" t="s">
        <v>260</v>
      </c>
      <c r="C14" s="91">
        <f>D14/12</f>
        <v>345</v>
      </c>
      <c r="D14" s="91">
        <v>4140</v>
      </c>
      <c r="E14" s="91"/>
      <c r="F14" s="593">
        <f>F13*12</f>
        <v>39156</v>
      </c>
    </row>
    <row r="15" spans="2:6" ht="35" customHeight="1" x14ac:dyDescent="0.25">
      <c r="B15" s="71" t="s">
        <v>264</v>
      </c>
      <c r="C15" s="91">
        <f>D15/12</f>
        <v>100</v>
      </c>
      <c r="D15" s="91">
        <v>1200</v>
      </c>
      <c r="E15" s="91"/>
      <c r="F15" s="593">
        <v>39287</v>
      </c>
    </row>
    <row r="16" spans="2:6" ht="35" customHeight="1" x14ac:dyDescent="0.25">
      <c r="B16" s="71" t="s">
        <v>270</v>
      </c>
      <c r="C16" s="91">
        <f>D16/12</f>
        <v>125</v>
      </c>
      <c r="D16" s="91">
        <v>1500</v>
      </c>
      <c r="E16" s="91"/>
      <c r="F16" s="593">
        <f>F15/52</f>
        <v>755.51923076923072</v>
      </c>
    </row>
    <row r="17" spans="2:5" ht="35" customHeight="1" x14ac:dyDescent="0.25">
      <c r="B17" s="71"/>
      <c r="C17" s="91"/>
      <c r="D17" s="91"/>
      <c r="E17" s="91"/>
    </row>
    <row r="18" spans="2:5" ht="35" customHeight="1" x14ac:dyDescent="0.25">
      <c r="B18" s="530" t="s">
        <v>262</v>
      </c>
      <c r="C18" s="531">
        <f>SUM(C13:C17)</f>
        <v>836.66666666666674</v>
      </c>
      <c r="D18" s="531">
        <f>SUM(D13:D17)</f>
        <v>10040</v>
      </c>
      <c r="E18" s="531"/>
    </row>
    <row r="19" spans="2:5" ht="35" customHeight="1" thickBot="1" x14ac:dyDescent="0.3"/>
    <row r="20" spans="2:5" ht="35" customHeight="1" x14ac:dyDescent="0.25">
      <c r="B20" s="77" t="s">
        <v>266</v>
      </c>
      <c r="C20" s="529" t="s">
        <v>194</v>
      </c>
      <c r="D20" s="529" t="s">
        <v>195</v>
      </c>
      <c r="E20" s="529" t="s">
        <v>263</v>
      </c>
    </row>
    <row r="21" spans="2:5" ht="35" customHeight="1" x14ac:dyDescent="0.25">
      <c r="B21" s="71" t="s">
        <v>260</v>
      </c>
      <c r="C21" s="91">
        <f>D21/12</f>
        <v>273.66666666666669</v>
      </c>
      <c r="D21" s="91">
        <v>3284</v>
      </c>
      <c r="E21" s="91">
        <v>730</v>
      </c>
    </row>
    <row r="22" spans="2:5" ht="35" customHeight="1" x14ac:dyDescent="0.25">
      <c r="B22" s="71" t="s">
        <v>261</v>
      </c>
      <c r="C22" s="91">
        <f>D22/12</f>
        <v>150</v>
      </c>
      <c r="D22" s="91">
        <v>1800</v>
      </c>
      <c r="E22" s="91"/>
    </row>
    <row r="23" spans="2:5" ht="35" customHeight="1" x14ac:dyDescent="0.25">
      <c r="B23" s="71" t="s">
        <v>264</v>
      </c>
      <c r="C23" s="91">
        <f>D23/12</f>
        <v>278.37333333333333</v>
      </c>
      <c r="D23" s="91">
        <f>E21*52*0.088</f>
        <v>3340.48</v>
      </c>
      <c r="E23" s="91"/>
    </row>
    <row r="24" spans="2:5" ht="35" customHeight="1" x14ac:dyDescent="0.25">
      <c r="B24" s="71" t="s">
        <v>265</v>
      </c>
      <c r="C24" s="91">
        <f>D24/12</f>
        <v>120.83333333333333</v>
      </c>
      <c r="D24" s="91">
        <v>1450</v>
      </c>
      <c r="E24" s="91"/>
    </row>
    <row r="25" spans="2:5" ht="35" customHeight="1" x14ac:dyDescent="0.25">
      <c r="B25" s="71"/>
      <c r="C25" s="91"/>
      <c r="D25" s="91"/>
      <c r="E25" s="91"/>
    </row>
    <row r="26" spans="2:5" ht="35" customHeight="1" x14ac:dyDescent="0.25">
      <c r="B26" s="530" t="s">
        <v>262</v>
      </c>
      <c r="C26" s="531">
        <f>SUM(C21:C25)</f>
        <v>822.87333333333333</v>
      </c>
      <c r="D26" s="531">
        <f>SUM(D21:D25)</f>
        <v>9874.48</v>
      </c>
      <c r="E26" s="531"/>
    </row>
    <row r="27" spans="2:5" ht="35" customHeight="1" thickBot="1" x14ac:dyDescent="0.3"/>
    <row r="28" spans="2:5" ht="35" customHeight="1" x14ac:dyDescent="0.25">
      <c r="B28" s="77" t="s">
        <v>267</v>
      </c>
      <c r="C28" s="529" t="s">
        <v>194</v>
      </c>
      <c r="D28" s="529" t="s">
        <v>195</v>
      </c>
      <c r="E28" s="529" t="s">
        <v>263</v>
      </c>
    </row>
    <row r="29" spans="2:5" ht="35" customHeight="1" x14ac:dyDescent="0.25">
      <c r="B29" s="71" t="s">
        <v>260</v>
      </c>
      <c r="C29" s="91">
        <f>D29/12</f>
        <v>273.66666666666669</v>
      </c>
      <c r="D29" s="91">
        <v>3284</v>
      </c>
      <c r="E29" s="91">
        <v>830</v>
      </c>
    </row>
    <row r="30" spans="2:5" ht="35" customHeight="1" x14ac:dyDescent="0.25">
      <c r="B30" s="71" t="s">
        <v>261</v>
      </c>
      <c r="C30" s="91">
        <f>D30/12</f>
        <v>150</v>
      </c>
      <c r="D30" s="91">
        <v>1800</v>
      </c>
      <c r="E30" s="91"/>
    </row>
    <row r="31" spans="2:5" ht="35" customHeight="1" x14ac:dyDescent="0.25">
      <c r="B31" s="71" t="s">
        <v>264</v>
      </c>
      <c r="C31" s="91">
        <f>D31/12</f>
        <v>316.50666666666666</v>
      </c>
      <c r="D31" s="91">
        <f>E29*52*0.088</f>
        <v>3798.08</v>
      </c>
      <c r="E31" s="91"/>
    </row>
    <row r="32" spans="2:5" ht="35" customHeight="1" x14ac:dyDescent="0.25">
      <c r="B32" s="71" t="s">
        <v>265</v>
      </c>
      <c r="C32" s="91">
        <f>D32/12</f>
        <v>120.83333333333333</v>
      </c>
      <c r="D32" s="91">
        <v>1450</v>
      </c>
      <c r="E32" s="91"/>
    </row>
    <row r="33" spans="2:5" ht="35" customHeight="1" x14ac:dyDescent="0.25">
      <c r="B33" s="71"/>
      <c r="C33" s="91"/>
      <c r="D33" s="91"/>
      <c r="E33" s="91"/>
    </row>
    <row r="34" spans="2:5" ht="35" customHeight="1" x14ac:dyDescent="0.25">
      <c r="B34" s="530" t="s">
        <v>262</v>
      </c>
      <c r="C34" s="531">
        <f>SUM(C29:C33)</f>
        <v>861.00666666666677</v>
      </c>
      <c r="D34" s="531">
        <f>SUM(D29:D33)</f>
        <v>10332.08</v>
      </c>
      <c r="E34" s="531"/>
    </row>
    <row r="35" spans="2:5" ht="35" customHeight="1" x14ac:dyDescent="0.25"/>
    <row r="36" spans="2:5" ht="35" customHeight="1" x14ac:dyDescent="0.25"/>
    <row r="37" spans="2:5" ht="35" customHeight="1" x14ac:dyDescent="0.25"/>
    <row r="38" spans="2:5" ht="35" customHeight="1" x14ac:dyDescent="0.25"/>
    <row r="39" spans="2:5" ht="35" customHeight="1" x14ac:dyDescent="0.25"/>
    <row r="40" spans="2:5" ht="35" customHeight="1" x14ac:dyDescent="0.25"/>
    <row r="41" spans="2:5" ht="35" customHeight="1" x14ac:dyDescent="0.25"/>
    <row r="42" spans="2:5" ht="35" customHeight="1" x14ac:dyDescent="0.25"/>
    <row r="43" spans="2:5" ht="35" customHeight="1" x14ac:dyDescent="0.25"/>
    <row r="44" spans="2:5" ht="35" customHeight="1" x14ac:dyDescent="0.25"/>
    <row r="45" spans="2:5" ht="35" customHeight="1" x14ac:dyDescent="0.25"/>
    <row r="46" spans="2:5" ht="35" customHeight="1" x14ac:dyDescent="0.25"/>
    <row r="47" spans="2:5" ht="35" customHeight="1" x14ac:dyDescent="0.25"/>
    <row r="48" spans="2:5" ht="35" customHeight="1" x14ac:dyDescent="0.25"/>
    <row r="49" ht="35" customHeight="1" x14ac:dyDescent="0.25"/>
    <row r="50" ht="35" customHeight="1" x14ac:dyDescent="0.25"/>
    <row r="51" ht="35" customHeight="1" x14ac:dyDescent="0.25"/>
    <row r="52" ht="35" customHeight="1" x14ac:dyDescent="0.25"/>
    <row r="53" ht="35" customHeight="1" x14ac:dyDescent="0.25"/>
    <row r="54" ht="35" customHeight="1" x14ac:dyDescent="0.25"/>
    <row r="55" ht="35" customHeight="1" x14ac:dyDescent="0.25"/>
    <row r="56" ht="35" customHeight="1" x14ac:dyDescent="0.25"/>
    <row r="57" ht="35" customHeight="1" x14ac:dyDescent="0.25"/>
    <row r="58" ht="35" customHeight="1" x14ac:dyDescent="0.25"/>
    <row r="59" ht="35" customHeight="1" x14ac:dyDescent="0.25"/>
    <row r="60" ht="35" customHeight="1" x14ac:dyDescent="0.25"/>
    <row r="61" ht="35" customHeight="1" x14ac:dyDescent="0.25"/>
    <row r="62" ht="35" customHeight="1" x14ac:dyDescent="0.25"/>
    <row r="63" ht="35" customHeight="1" x14ac:dyDescent="0.25"/>
    <row r="64" ht="35" customHeight="1" x14ac:dyDescent="0.25"/>
    <row r="65" ht="35" customHeight="1" x14ac:dyDescent="0.25"/>
    <row r="66" ht="35" customHeight="1" x14ac:dyDescent="0.25"/>
    <row r="67" ht="35" customHeight="1" x14ac:dyDescent="0.25"/>
    <row r="68" ht="35" customHeight="1" x14ac:dyDescent="0.25"/>
    <row r="69" ht="35" customHeight="1" x14ac:dyDescent="0.25"/>
    <row r="70" ht="35" customHeight="1" x14ac:dyDescent="0.25"/>
    <row r="71" ht="35" customHeight="1" x14ac:dyDescent="0.25"/>
    <row r="72" ht="35" customHeight="1" x14ac:dyDescent="0.25"/>
    <row r="73" ht="35" customHeight="1" x14ac:dyDescent="0.25"/>
    <row r="74" ht="35" customHeight="1" x14ac:dyDescent="0.25"/>
    <row r="75" ht="35" customHeight="1" x14ac:dyDescent="0.25"/>
    <row r="76" ht="35" customHeight="1" x14ac:dyDescent="0.25"/>
    <row r="77" ht="35" customHeight="1" x14ac:dyDescent="0.25"/>
    <row r="78" ht="35" customHeight="1" x14ac:dyDescent="0.25"/>
    <row r="79" ht="35" customHeight="1" x14ac:dyDescent="0.25"/>
    <row r="80" ht="35" customHeight="1" x14ac:dyDescent="0.25"/>
    <row r="81" ht="35" customHeight="1" x14ac:dyDescent="0.25"/>
    <row r="82" ht="35" customHeight="1" x14ac:dyDescent="0.25"/>
    <row r="83" ht="35" customHeight="1" x14ac:dyDescent="0.25"/>
    <row r="84" ht="35" customHeight="1" x14ac:dyDescent="0.25"/>
    <row r="85" ht="35" customHeight="1" x14ac:dyDescent="0.25"/>
    <row r="86" ht="35" customHeight="1" x14ac:dyDescent="0.25"/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11A5-5F2A-6E4D-A7A7-7EF20D6B181C}">
  <dimension ref="B1:AI94"/>
  <sheetViews>
    <sheetView showGridLines="0" topLeftCell="E4" zoomScale="50" zoomScaleNormal="50" workbookViewId="0">
      <selection activeCell="M51" sqref="M51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3.1640625" style="18" bestFit="1" customWidth="1"/>
    <col min="18" max="18" width="33.5" style="18" bestFit="1" customWidth="1"/>
    <col min="19" max="19" width="37.5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5000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1000000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2359.6</v>
      </c>
      <c r="I5" s="143">
        <f>H5*12</f>
        <v>28315.199999999997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97" t="s">
        <v>40</v>
      </c>
      <c r="C6" s="164">
        <f>D6*12</f>
        <v>240000</v>
      </c>
      <c r="D6" s="165">
        <f>M6</f>
        <v>20000</v>
      </c>
      <c r="E6" s="166"/>
      <c r="F6" s="61"/>
      <c r="G6" s="39"/>
      <c r="H6" s="55"/>
      <c r="I6" s="56"/>
      <c r="K6" s="205"/>
      <c r="L6" s="212" t="s">
        <v>70</v>
      </c>
      <c r="M6" s="223">
        <v>20000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38" ca="1" si="0">TEXT($Q7,"MMMM")&amp;TEXT($Q7," YYYY")</f>
        <v>March 2026</v>
      </c>
      <c r="S7" s="252">
        <f>SUM(E44:E46)</f>
        <v>3550000</v>
      </c>
      <c r="T7" s="252"/>
      <c r="U7" s="252">
        <f>SUM(E37:E39)</f>
        <v>792000</v>
      </c>
      <c r="V7" s="252">
        <f>$E$34</f>
        <v>818000</v>
      </c>
      <c r="W7" s="252">
        <f>$I$50</f>
        <v>1488000</v>
      </c>
      <c r="X7" s="252">
        <f>T7</f>
        <v>0</v>
      </c>
      <c r="Y7" s="252">
        <f t="shared" ref="Y7:Y38" si="1">SUM(S7:V7)-W7</f>
        <v>3672000</v>
      </c>
      <c r="Z7" s="255"/>
      <c r="AA7" s="255"/>
      <c r="AB7" s="255"/>
      <c r="AC7" s="255"/>
    </row>
    <row r="8" spans="2:35" ht="33" x14ac:dyDescent="0.35">
      <c r="B8" s="97" t="s">
        <v>42</v>
      </c>
      <c r="C8" s="167"/>
      <c r="D8" s="165">
        <f>M8</f>
        <v>10</v>
      </c>
      <c r="E8" s="169">
        <f>D8</f>
        <v>10</v>
      </c>
      <c r="F8" s="54"/>
      <c r="G8" s="97"/>
      <c r="H8" s="44"/>
      <c r="I8" s="47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3570708.3333333335</v>
      </c>
      <c r="T8" s="252"/>
      <c r="U8" s="254">
        <f>($V$2/12+1)*U7+$V$3</f>
        <v>803600</v>
      </c>
      <c r="V8" s="254">
        <f>V7+$I$56</f>
        <v>833021.66416666668</v>
      </c>
      <c r="W8" s="252">
        <f>W7+X7</f>
        <v>1488000</v>
      </c>
      <c r="X8" s="252">
        <f t="shared" ref="X8:X66" si="2">T8</f>
        <v>0</v>
      </c>
      <c r="Y8" s="252">
        <f t="shared" si="1"/>
        <v>3719329.9975000005</v>
      </c>
      <c r="Z8" s="255"/>
      <c r="AA8" s="255"/>
      <c r="AB8" s="255"/>
      <c r="AC8" s="255"/>
    </row>
    <row r="9" spans="2:35" ht="33" x14ac:dyDescent="0.35">
      <c r="B9" s="97" t="s">
        <v>43</v>
      </c>
      <c r="C9" s="167"/>
      <c r="D9" s="165">
        <f>M9</f>
        <v>830</v>
      </c>
      <c r="E9" s="169">
        <f>D9</f>
        <v>830</v>
      </c>
      <c r="F9" s="54"/>
      <c r="G9" s="97"/>
      <c r="H9" s="44"/>
      <c r="I9" s="47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3591537.465277778</v>
      </c>
      <c r="T9" s="252"/>
      <c r="U9" s="254">
        <f t="shared" ref="U9:U66" si="4">($V$2/12+1)*U8+$V$3</f>
        <v>815296.66666666663</v>
      </c>
      <c r="V9" s="254">
        <f t="shared" ref="V9:V66" si="5">V8+$I$56</f>
        <v>848043.32833333337</v>
      </c>
      <c r="W9" s="252">
        <f t="shared" ref="W9:W66" si="6">W8+X8</f>
        <v>1488000</v>
      </c>
      <c r="X9" s="252">
        <f t="shared" si="2"/>
        <v>0</v>
      </c>
      <c r="Y9" s="252">
        <f t="shared" si="1"/>
        <v>3766877.4602777781</v>
      </c>
      <c r="Z9" s="255"/>
      <c r="AA9" s="255"/>
      <c r="AB9" s="255"/>
      <c r="AC9" s="255"/>
    </row>
    <row r="10" spans="2:35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3612488.1004918986</v>
      </c>
      <c r="T10" s="252"/>
      <c r="U10" s="254">
        <f t="shared" si="4"/>
        <v>827090.8055555555</v>
      </c>
      <c r="V10" s="254">
        <f t="shared" si="5"/>
        <v>863064.99250000005</v>
      </c>
      <c r="W10" s="252">
        <f t="shared" si="6"/>
        <v>1488000</v>
      </c>
      <c r="X10" s="252">
        <f t="shared" si="2"/>
        <v>0</v>
      </c>
      <c r="Y10" s="252">
        <f t="shared" si="1"/>
        <v>3814643.8985474538</v>
      </c>
      <c r="Z10" s="255"/>
      <c r="AA10" s="255"/>
      <c r="AB10" s="255"/>
      <c r="AC10" s="255"/>
    </row>
    <row r="11" spans="2:35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3633560.9477447681</v>
      </c>
      <c r="T11" s="252"/>
      <c r="U11" s="254">
        <f t="shared" si="4"/>
        <v>838983.22893518512</v>
      </c>
      <c r="V11" s="254">
        <f t="shared" si="5"/>
        <v>878086.65666666673</v>
      </c>
      <c r="W11" s="252">
        <f t="shared" si="6"/>
        <v>1488000</v>
      </c>
      <c r="X11" s="252">
        <f t="shared" si="2"/>
        <v>0</v>
      </c>
      <c r="Y11" s="252">
        <f t="shared" si="1"/>
        <v>3862630.8333466202</v>
      </c>
      <c r="Z11" s="255"/>
      <c r="AA11" s="255"/>
      <c r="AB11" s="255"/>
      <c r="AC11" s="255"/>
    </row>
    <row r="12" spans="2:35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3654756.7199399462</v>
      </c>
      <c r="T12" s="252"/>
      <c r="U12" s="254">
        <f t="shared" si="4"/>
        <v>850974.75584297825</v>
      </c>
      <c r="V12" s="254">
        <f t="shared" si="5"/>
        <v>893108.32083333342</v>
      </c>
      <c r="W12" s="252">
        <f t="shared" si="6"/>
        <v>1488000</v>
      </c>
      <c r="X12" s="252">
        <f t="shared" si="2"/>
        <v>0</v>
      </c>
      <c r="Y12" s="252">
        <f t="shared" si="1"/>
        <v>3910839.7966162581</v>
      </c>
      <c r="Z12" s="255"/>
      <c r="AA12" s="255"/>
      <c r="AB12" s="255"/>
      <c r="AC12" s="255"/>
    </row>
    <row r="13" spans="2:35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3676076.134139596</v>
      </c>
      <c r="T13" s="252"/>
      <c r="U13" s="254">
        <f t="shared" si="4"/>
        <v>863066.2121416697</v>
      </c>
      <c r="V13" s="254">
        <f t="shared" si="5"/>
        <v>908129.9850000001</v>
      </c>
      <c r="W13" s="252">
        <f t="shared" si="6"/>
        <v>1488000</v>
      </c>
      <c r="X13" s="252">
        <f t="shared" si="2"/>
        <v>0</v>
      </c>
      <c r="Y13" s="252">
        <f t="shared" si="1"/>
        <v>3959272.3312812662</v>
      </c>
      <c r="Z13" s="255"/>
      <c r="AA13" s="255"/>
      <c r="AB13" s="255"/>
      <c r="AC13" s="255"/>
    </row>
    <row r="14" spans="2:35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-18.400000000000091</v>
      </c>
      <c r="F14" s="41"/>
      <c r="G14" s="97" t="s">
        <v>68</v>
      </c>
      <c r="H14" s="145">
        <f>C14/E45</f>
        <v>3.2239999999999998E-2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3697519.9115887438</v>
      </c>
      <c r="T14" s="252"/>
      <c r="U14" s="254">
        <f t="shared" si="4"/>
        <v>875258.4305761836</v>
      </c>
      <c r="V14" s="254">
        <f t="shared" si="5"/>
        <v>923151.64916666679</v>
      </c>
      <c r="W14" s="252">
        <f t="shared" si="6"/>
        <v>1488000</v>
      </c>
      <c r="X14" s="252">
        <f t="shared" si="2"/>
        <v>0</v>
      </c>
      <c r="Y14" s="252">
        <f t="shared" si="1"/>
        <v>4007929.9913315941</v>
      </c>
      <c r="Z14" s="255"/>
      <c r="AA14" s="255"/>
      <c r="AB14" s="255"/>
      <c r="AC14" s="255"/>
    </row>
    <row r="15" spans="2:35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1538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3719088.777739678</v>
      </c>
      <c r="T15" s="252"/>
      <c r="U15" s="254">
        <f t="shared" si="4"/>
        <v>887552.25083098514</v>
      </c>
      <c r="V15" s="254">
        <f t="shared" si="5"/>
        <v>938173.31333333347</v>
      </c>
      <c r="W15" s="252">
        <f t="shared" si="6"/>
        <v>1488000</v>
      </c>
      <c r="X15" s="252">
        <f t="shared" si="2"/>
        <v>0</v>
      </c>
      <c r="Y15" s="252">
        <f t="shared" si="1"/>
        <v>4056814.3419039967</v>
      </c>
      <c r="Z15" s="255"/>
      <c r="AA15" s="255"/>
      <c r="AB15" s="255"/>
      <c r="AC15" s="255"/>
    </row>
    <row r="16" spans="2:35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3740783.4622764927</v>
      </c>
      <c r="T16" s="252"/>
      <c r="U16" s="254">
        <f t="shared" si="4"/>
        <v>899948.51958791004</v>
      </c>
      <c r="V16" s="254">
        <f t="shared" si="5"/>
        <v>953194.97750000015</v>
      </c>
      <c r="W16" s="252">
        <f t="shared" si="6"/>
        <v>1488000</v>
      </c>
      <c r="X16" s="252">
        <f t="shared" si="2"/>
        <v>0</v>
      </c>
      <c r="Y16" s="252">
        <f t="shared" si="1"/>
        <v>4105926.959364403</v>
      </c>
      <c r="Z16" s="255"/>
      <c r="AA16" s="255"/>
      <c r="AB16" s="255"/>
      <c r="AC16" s="255"/>
    </row>
    <row r="17" spans="2:29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25910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3762604.6991397724</v>
      </c>
      <c r="T17" s="252">
        <f>$V$4</f>
        <v>1000000</v>
      </c>
      <c r="U17" s="254">
        <f t="shared" si="4"/>
        <v>912448.0905844759</v>
      </c>
      <c r="V17" s="254">
        <f t="shared" si="5"/>
        <v>968216.64166666684</v>
      </c>
      <c r="W17" s="252">
        <f t="shared" si="6"/>
        <v>1488000</v>
      </c>
      <c r="X17" s="252">
        <f t="shared" si="2"/>
        <v>1000000</v>
      </c>
      <c r="Y17" s="252">
        <f t="shared" si="1"/>
        <v>5155269.4313909141</v>
      </c>
      <c r="Z17" s="255"/>
      <c r="AA17" s="255"/>
      <c r="AB17" s="255"/>
      <c r="AC17" s="255"/>
    </row>
    <row r="18" spans="2:29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4784553.226551421</v>
      </c>
      <c r="T18" s="252"/>
      <c r="U18" s="254">
        <f t="shared" si="4"/>
        <v>925051.82467267988</v>
      </c>
      <c r="V18" s="254">
        <f t="shared" si="5"/>
        <v>983238.30583333352</v>
      </c>
      <c r="W18" s="252">
        <f t="shared" si="6"/>
        <v>2488000</v>
      </c>
      <c r="X18" s="252">
        <f t="shared" si="2"/>
        <v>0</v>
      </c>
      <c r="Y18" s="252">
        <f t="shared" si="1"/>
        <v>4204843.3570574345</v>
      </c>
      <c r="Z18" s="255"/>
      <c r="AA18" s="255"/>
      <c r="AB18" s="255"/>
      <c r="AC18" s="255"/>
    </row>
    <row r="19" spans="2:29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4812463.1203729715</v>
      </c>
      <c r="T19" s="252"/>
      <c r="U19" s="254">
        <f t="shared" si="4"/>
        <v>937760.58987828554</v>
      </c>
      <c r="V19" s="254">
        <f t="shared" si="5"/>
        <v>998259.9700000002</v>
      </c>
      <c r="W19" s="252">
        <f t="shared" si="6"/>
        <v>2488000</v>
      </c>
      <c r="X19" s="252">
        <f t="shared" si="2"/>
        <v>0</v>
      </c>
      <c r="Y19" s="252">
        <f t="shared" si="1"/>
        <v>4260483.6802512575</v>
      </c>
      <c r="Z19" s="255"/>
      <c r="AA19" s="255"/>
      <c r="AB19" s="255"/>
      <c r="AC19" s="255"/>
    </row>
    <row r="20" spans="2:29" ht="33" x14ac:dyDescent="0.35">
      <c r="B20" s="97" t="s">
        <v>36</v>
      </c>
      <c r="C20" s="175">
        <f t="shared" ref="C20:C23" si="8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4840535.8219084805</v>
      </c>
      <c r="T20" s="252"/>
      <c r="U20" s="254">
        <f t="shared" si="4"/>
        <v>950575.26146060461</v>
      </c>
      <c r="V20" s="254">
        <f t="shared" si="5"/>
        <v>1013281.6341666669</v>
      </c>
      <c r="W20" s="252">
        <f t="shared" si="6"/>
        <v>2488000</v>
      </c>
      <c r="X20" s="252">
        <f t="shared" si="2"/>
        <v>0</v>
      </c>
      <c r="Y20" s="252">
        <f t="shared" si="1"/>
        <v>4316392.7175357528</v>
      </c>
      <c r="Z20" s="255"/>
      <c r="AA20" s="255"/>
      <c r="AB20" s="255"/>
      <c r="AC20" s="255"/>
    </row>
    <row r="21" spans="2:29" ht="34" thickBot="1" x14ac:dyDescent="0.4">
      <c r="B21" s="97" t="str">
        <f>L21</f>
        <v>Interest Forest Lake</v>
      </c>
      <c r="C21" s="175">
        <f t="shared" si="8"/>
        <v>32460.799999999999</v>
      </c>
      <c r="D21" s="176">
        <f>M21*I45/12</f>
        <v>2705.0666666666666</v>
      </c>
      <c r="E21" s="48"/>
      <c r="F21" s="121"/>
      <c r="G21" s="125"/>
      <c r="H21" s="22"/>
      <c r="I21" s="147"/>
      <c r="K21" s="205"/>
      <c r="L21" s="212" t="s">
        <v>167</v>
      </c>
      <c r="M21" s="225">
        <v>6.3399999999999998E-2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4868772.2808696134</v>
      </c>
      <c r="T21" s="252"/>
      <c r="U21" s="254">
        <f t="shared" si="4"/>
        <v>963496.72197277634</v>
      </c>
      <c r="V21" s="254">
        <f t="shared" si="5"/>
        <v>1028303.2983333336</v>
      </c>
      <c r="W21" s="252">
        <f t="shared" si="6"/>
        <v>2488000</v>
      </c>
      <c r="X21" s="252">
        <f t="shared" si="2"/>
        <v>0</v>
      </c>
      <c r="Y21" s="252">
        <f t="shared" si="1"/>
        <v>4372572.3011757238</v>
      </c>
      <c r="Z21" s="255"/>
      <c r="AA21" s="255"/>
      <c r="AB21" s="255"/>
      <c r="AC21" s="255"/>
    </row>
    <row r="22" spans="2:29" ht="34" thickBot="1" x14ac:dyDescent="0.4">
      <c r="B22" s="97" t="str">
        <f>L22</f>
        <v>Interest Strathpine</v>
      </c>
      <c r="C22" s="175">
        <f t="shared" si="8"/>
        <v>10144</v>
      </c>
      <c r="D22" s="176">
        <f>M22*I46/12</f>
        <v>845.33333333333337</v>
      </c>
      <c r="E22" s="49"/>
      <c r="F22" s="122"/>
      <c r="G22" s="157" t="s">
        <v>86</v>
      </c>
      <c r="H22" s="104">
        <f>I17-I28</f>
        <v>15021.664166666667</v>
      </c>
      <c r="I22" s="147"/>
      <c r="K22" s="205"/>
      <c r="L22" s="212" t="s">
        <v>168</v>
      </c>
      <c r="M22" s="225">
        <v>6.3399999999999998E-2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4897173.4525080193</v>
      </c>
      <c r="T22" s="252"/>
      <c r="U22" s="254">
        <f t="shared" si="4"/>
        <v>976525.8613225494</v>
      </c>
      <c r="V22" s="254">
        <f t="shared" si="5"/>
        <v>1043324.9625000003</v>
      </c>
      <c r="W22" s="252">
        <f t="shared" si="6"/>
        <v>2488000</v>
      </c>
      <c r="X22" s="252">
        <f t="shared" si="2"/>
        <v>0</v>
      </c>
      <c r="Y22" s="252">
        <f t="shared" si="1"/>
        <v>4429024.2763305688</v>
      </c>
      <c r="Z22" s="255"/>
      <c r="AA22" s="255"/>
      <c r="AB22" s="255"/>
      <c r="AC22" s="255"/>
    </row>
    <row r="23" spans="2:29" ht="33" x14ac:dyDescent="0.35">
      <c r="B23" s="97" t="s">
        <v>123</v>
      </c>
      <c r="C23" s="175">
        <f t="shared" si="8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4925740.2976476494</v>
      </c>
      <c r="T23" s="252"/>
      <c r="U23" s="254">
        <f t="shared" si="4"/>
        <v>989663.57683357061</v>
      </c>
      <c r="V23" s="254">
        <f t="shared" si="5"/>
        <v>1058346.6266666669</v>
      </c>
      <c r="W23" s="252">
        <f t="shared" si="6"/>
        <v>2488000</v>
      </c>
      <c r="X23" s="252">
        <f t="shared" si="2"/>
        <v>0</v>
      </c>
      <c r="Y23" s="252">
        <f t="shared" si="1"/>
        <v>4485750.5011478867</v>
      </c>
      <c r="Z23" s="255"/>
      <c r="AA23" s="255"/>
      <c r="AB23" s="255"/>
      <c r="AC23" s="255"/>
    </row>
    <row r="24" spans="2:29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4954473.7827172605</v>
      </c>
      <c r="T24" s="252"/>
      <c r="U24" s="254">
        <f t="shared" si="4"/>
        <v>1002910.7733071836</v>
      </c>
      <c r="V24" s="254">
        <f t="shared" si="5"/>
        <v>1073368.2908333335</v>
      </c>
      <c r="W24" s="252">
        <f t="shared" si="6"/>
        <v>2488000</v>
      </c>
      <c r="X24" s="252">
        <f t="shared" si="2"/>
        <v>0</v>
      </c>
      <c r="Y24" s="252">
        <f t="shared" si="1"/>
        <v>4542752.8468577778</v>
      </c>
      <c r="Z24" s="255"/>
      <c r="AA24" s="255"/>
      <c r="AB24" s="255"/>
      <c r="AC24" s="255"/>
    </row>
    <row r="25" spans="2:29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4983374.8797831116</v>
      </c>
      <c r="T25" s="252"/>
      <c r="U25" s="254">
        <f t="shared" si="4"/>
        <v>1016268.3630847435</v>
      </c>
      <c r="V25" s="254">
        <f t="shared" si="5"/>
        <v>1088389.9550000001</v>
      </c>
      <c r="W25" s="252">
        <f t="shared" si="6"/>
        <v>2488000</v>
      </c>
      <c r="X25" s="252">
        <f t="shared" si="2"/>
        <v>0</v>
      </c>
      <c r="Y25" s="252">
        <f t="shared" si="1"/>
        <v>4600033.1978678554</v>
      </c>
      <c r="Z25" s="255"/>
      <c r="AA25" s="255"/>
      <c r="AB25" s="255"/>
      <c r="AC25" s="255"/>
    </row>
    <row r="26" spans="2:29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5012444.5665818462</v>
      </c>
      <c r="T26" s="252"/>
      <c r="U26" s="254">
        <f t="shared" si="4"/>
        <v>1029737.2661104497</v>
      </c>
      <c r="V26" s="254">
        <f t="shared" si="5"/>
        <v>1103411.6191666666</v>
      </c>
      <c r="W26" s="252">
        <f t="shared" si="6"/>
        <v>2488000</v>
      </c>
      <c r="X26" s="252">
        <f t="shared" si="2"/>
        <v>0</v>
      </c>
      <c r="Y26" s="252">
        <f t="shared" si="1"/>
        <v>4657593.4518589629</v>
      </c>
      <c r="Z26" s="255"/>
      <c r="AA26" s="255"/>
      <c r="AB26" s="255"/>
      <c r="AC26" s="255"/>
    </row>
    <row r="27" spans="2:29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5041683.8265535738</v>
      </c>
      <c r="T27" s="252"/>
      <c r="U27" s="254">
        <f t="shared" si="4"/>
        <v>1043318.4099947034</v>
      </c>
      <c r="V27" s="254">
        <f t="shared" si="5"/>
        <v>1118433.2833333332</v>
      </c>
      <c r="W27" s="252">
        <f t="shared" si="6"/>
        <v>2488000</v>
      </c>
      <c r="X27" s="252">
        <f t="shared" si="2"/>
        <v>0</v>
      </c>
      <c r="Y27" s="252">
        <f t="shared" si="1"/>
        <v>4715435.5198816108</v>
      </c>
      <c r="Z27" s="255"/>
      <c r="AA27" s="255"/>
      <c r="AB27" s="255"/>
      <c r="AC27" s="255"/>
    </row>
    <row r="28" spans="2:29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10888.335833333333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5071093.6488751369</v>
      </c>
      <c r="T28" s="252">
        <f>$V$4</f>
        <v>1000000</v>
      </c>
      <c r="U28" s="254">
        <f t="shared" si="4"/>
        <v>1057012.7300779924</v>
      </c>
      <c r="V28" s="254">
        <f t="shared" si="5"/>
        <v>1133454.9474999998</v>
      </c>
      <c r="W28" s="252">
        <f t="shared" si="6"/>
        <v>2488000</v>
      </c>
      <c r="X28" s="252">
        <f t="shared" si="2"/>
        <v>1000000</v>
      </c>
      <c r="Y28" s="252">
        <f t="shared" si="1"/>
        <v>5773561.3264531288</v>
      </c>
      <c r="Z28" s="255"/>
      <c r="AA28" s="255"/>
      <c r="AB28" s="255"/>
      <c r="AC28" s="255"/>
    </row>
    <row r="29" spans="2:29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6100675.0284935748</v>
      </c>
      <c r="T29" s="252"/>
      <c r="U29" s="254">
        <f t="shared" si="4"/>
        <v>1070821.169495309</v>
      </c>
      <c r="V29" s="254">
        <f t="shared" si="5"/>
        <v>1148476.6116666663</v>
      </c>
      <c r="W29" s="252">
        <f t="shared" si="6"/>
        <v>3488000</v>
      </c>
      <c r="X29" s="252">
        <f t="shared" si="2"/>
        <v>0</v>
      </c>
      <c r="Y29" s="252">
        <f t="shared" si="1"/>
        <v>4831972.8096555499</v>
      </c>
      <c r="Z29" s="255"/>
      <c r="AA29" s="255"/>
      <c r="AB29" s="255"/>
      <c r="AC29" s="255"/>
    </row>
    <row r="30" spans="2:29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6136262.299493121</v>
      </c>
      <c r="T30" s="252"/>
      <c r="U30" s="254">
        <f t="shared" si="4"/>
        <v>1084744.6792411031</v>
      </c>
      <c r="V30" s="254">
        <f t="shared" si="5"/>
        <v>1163498.2758333329</v>
      </c>
      <c r="W30" s="252">
        <f t="shared" si="6"/>
        <v>3488000</v>
      </c>
      <c r="X30" s="252">
        <f t="shared" si="2"/>
        <v>0</v>
      </c>
      <c r="Y30" s="252">
        <f t="shared" si="1"/>
        <v>4896505.254567557</v>
      </c>
      <c r="Z30" s="255"/>
      <c r="AA30" s="255"/>
      <c r="AB30" s="255"/>
      <c r="AC30" s="255"/>
    </row>
    <row r="31" spans="2:29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6172057.1629068311</v>
      </c>
      <c r="T31" s="252"/>
      <c r="U31" s="254">
        <f t="shared" si="4"/>
        <v>1098784.2182347788</v>
      </c>
      <c r="V31" s="254">
        <f t="shared" si="5"/>
        <v>1178519.9399999995</v>
      </c>
      <c r="W31" s="252">
        <f t="shared" si="6"/>
        <v>3488000</v>
      </c>
      <c r="X31" s="252">
        <f t="shared" si="2"/>
        <v>0</v>
      </c>
      <c r="Y31" s="252">
        <f t="shared" si="1"/>
        <v>4961361.3211416099</v>
      </c>
      <c r="Z31" s="255"/>
      <c r="AA31" s="255"/>
      <c r="AB31" s="255"/>
      <c r="AC31" s="255"/>
    </row>
    <row r="32" spans="2:29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6208060.8296904545</v>
      </c>
      <c r="T32" s="252"/>
      <c r="U32" s="254">
        <f t="shared" si="4"/>
        <v>1112940.7533867352</v>
      </c>
      <c r="V32" s="254">
        <f t="shared" si="5"/>
        <v>1193541.604166666</v>
      </c>
      <c r="W32" s="252">
        <f t="shared" si="6"/>
        <v>3488000</v>
      </c>
      <c r="X32" s="252">
        <f t="shared" si="2"/>
        <v>0</v>
      </c>
      <c r="Y32" s="252">
        <f t="shared" si="1"/>
        <v>5026543.1872438565</v>
      </c>
      <c r="Z32" s="255"/>
      <c r="AA32" s="255"/>
      <c r="AB32" s="255"/>
      <c r="AC32" s="255"/>
    </row>
    <row r="33" spans="2:29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6244274.5178636489</v>
      </c>
      <c r="T33" s="252"/>
      <c r="U33" s="254">
        <f t="shared" si="4"/>
        <v>1127215.2596649579</v>
      </c>
      <c r="V33" s="254">
        <f t="shared" si="5"/>
        <v>1208563.2683333326</v>
      </c>
      <c r="W33" s="252">
        <f t="shared" si="6"/>
        <v>3488000</v>
      </c>
      <c r="X33" s="252">
        <f t="shared" si="2"/>
        <v>0</v>
      </c>
      <c r="Y33" s="252">
        <f t="shared" si="1"/>
        <v>5092053.045861939</v>
      </c>
      <c r="Z33" s="255"/>
      <c r="AA33" s="255"/>
      <c r="AB33" s="255"/>
      <c r="AC33" s="255"/>
    </row>
    <row r="34" spans="2:29" ht="33" x14ac:dyDescent="0.35">
      <c r="B34" s="160" t="s">
        <v>46</v>
      </c>
      <c r="C34" s="22"/>
      <c r="D34" s="107"/>
      <c r="E34" s="179">
        <f>M40</f>
        <v>818000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6280699.452551187</v>
      </c>
      <c r="T34" s="252"/>
      <c r="U34" s="254">
        <f t="shared" si="4"/>
        <v>1141608.7201621658</v>
      </c>
      <c r="V34" s="254">
        <f t="shared" si="5"/>
        <v>1223584.9324999992</v>
      </c>
      <c r="W34" s="252">
        <f t="shared" si="6"/>
        <v>3488000</v>
      </c>
      <c r="X34" s="252">
        <f t="shared" si="2"/>
        <v>0</v>
      </c>
      <c r="Y34" s="252">
        <f t="shared" si="1"/>
        <v>5157893.1052133515</v>
      </c>
      <c r="Z34" s="255"/>
      <c r="AA34" s="255"/>
      <c r="AB34" s="255"/>
      <c r="AC34" s="255"/>
    </row>
    <row r="35" spans="2:29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6317336.866024402</v>
      </c>
      <c r="T35" s="252"/>
      <c r="U35" s="254">
        <f t="shared" si="4"/>
        <v>1156122.1261635171</v>
      </c>
      <c r="V35" s="254">
        <f t="shared" si="5"/>
        <v>1238606.5966666657</v>
      </c>
      <c r="W35" s="252">
        <f t="shared" si="6"/>
        <v>3488000</v>
      </c>
      <c r="X35" s="252">
        <f t="shared" si="2"/>
        <v>0</v>
      </c>
      <c r="Y35" s="252">
        <f t="shared" si="1"/>
        <v>5224065.5888545848</v>
      </c>
      <c r="Z35" s="255"/>
      <c r="AA35" s="255"/>
      <c r="AB35" s="255"/>
      <c r="AC35" s="255"/>
    </row>
    <row r="36" spans="2:29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6354187.9977428773</v>
      </c>
      <c r="T36" s="252"/>
      <c r="U36" s="254">
        <f t="shared" si="4"/>
        <v>1170756.4772148798</v>
      </c>
      <c r="V36" s="254">
        <f t="shared" si="5"/>
        <v>1253628.2608333323</v>
      </c>
      <c r="W36" s="252">
        <f t="shared" si="6"/>
        <v>3488000</v>
      </c>
      <c r="X36" s="252">
        <f t="shared" si="2"/>
        <v>0</v>
      </c>
      <c r="Y36" s="252">
        <f t="shared" si="1"/>
        <v>5290572.735791089</v>
      </c>
      <c r="Z36" s="255"/>
      <c r="AA36" s="255"/>
      <c r="AB36" s="255"/>
      <c r="AC36" s="255"/>
    </row>
    <row r="37" spans="2:29" ht="31" x14ac:dyDescent="0.3">
      <c r="B37" s="160" t="s">
        <v>51</v>
      </c>
      <c r="C37" s="22"/>
      <c r="D37" s="107"/>
      <c r="E37" s="179">
        <f>M43</f>
        <v>183000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6391254.0943963779</v>
      </c>
      <c r="T37" s="252"/>
      <c r="U37" s="254">
        <f t="shared" si="4"/>
        <v>1185512.7811916706</v>
      </c>
      <c r="V37" s="254">
        <f t="shared" si="5"/>
        <v>1268649.9249999989</v>
      </c>
      <c r="W37" s="252">
        <f t="shared" si="6"/>
        <v>3488000</v>
      </c>
      <c r="X37" s="252">
        <f t="shared" si="2"/>
        <v>0</v>
      </c>
      <c r="Y37" s="252">
        <f t="shared" si="1"/>
        <v>5357416.8005880471</v>
      </c>
      <c r="Z37" s="255"/>
      <c r="AA37" s="255"/>
      <c r="AB37" s="255"/>
      <c r="AC37" s="255"/>
    </row>
    <row r="38" spans="2:29" ht="29" customHeight="1" thickBot="1" x14ac:dyDescent="0.4">
      <c r="B38" s="160" t="s">
        <v>52</v>
      </c>
      <c r="C38" s="22"/>
      <c r="D38" s="107"/>
      <c r="E38" s="179">
        <f>M44</f>
        <v>194000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6428536.4099470237</v>
      </c>
      <c r="T38" s="252"/>
      <c r="U38" s="254">
        <f t="shared" si="4"/>
        <v>1200392.0543682678</v>
      </c>
      <c r="V38" s="254">
        <f t="shared" si="5"/>
        <v>1283671.5891666654</v>
      </c>
      <c r="W38" s="252">
        <f t="shared" si="6"/>
        <v>3488000</v>
      </c>
      <c r="X38" s="252">
        <f t="shared" si="2"/>
        <v>0</v>
      </c>
      <c r="Y38" s="252">
        <f t="shared" si="1"/>
        <v>5424600.0534819569</v>
      </c>
      <c r="Z38" s="255"/>
      <c r="AA38" s="255"/>
      <c r="AB38" s="255"/>
      <c r="AC38" s="255"/>
    </row>
    <row r="39" spans="2:29" ht="33" x14ac:dyDescent="0.35">
      <c r="B39" s="160" t="s">
        <v>54</v>
      </c>
      <c r="C39" s="22"/>
      <c r="D39" s="107"/>
      <c r="E39" s="179">
        <f>M45</f>
        <v>415000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ref="R39:R66" ca="1" si="9">TEXT($Q39,"MMMM")&amp;TEXT($Q39," YYYY")</f>
        <v>October 2028</v>
      </c>
      <c r="S39" s="252">
        <f t="shared" si="3"/>
        <v>6466036.2056717146</v>
      </c>
      <c r="T39" s="252"/>
      <c r="U39" s="254">
        <f t="shared" si="4"/>
        <v>1215395.3214880032</v>
      </c>
      <c r="V39" s="254">
        <f t="shared" si="5"/>
        <v>1298693.253333332</v>
      </c>
      <c r="W39" s="252">
        <f t="shared" si="6"/>
        <v>3488000</v>
      </c>
      <c r="X39" s="252">
        <f t="shared" si="2"/>
        <v>0</v>
      </c>
      <c r="Y39" s="252">
        <f t="shared" ref="Y39:Y66" si="10">SUM(S39:V39)-W39</f>
        <v>5492124.7804930508</v>
      </c>
      <c r="Z39" s="255"/>
      <c r="AA39" s="255"/>
      <c r="AB39" s="255"/>
      <c r="AC39" s="255"/>
    </row>
    <row r="40" spans="2:29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818000</v>
      </c>
      <c r="N40" s="210"/>
      <c r="P40" s="249">
        <v>34</v>
      </c>
      <c r="Q40" s="251">
        <f t="shared" ca="1" si="7"/>
        <v>47081</v>
      </c>
      <c r="R40" s="251" t="str">
        <f t="shared" ca="1" si="9"/>
        <v>November 2028</v>
      </c>
      <c r="S40" s="252">
        <f t="shared" si="3"/>
        <v>6503754.7502047997</v>
      </c>
      <c r="T40" s="252">
        <f>$V$4</f>
        <v>1000000</v>
      </c>
      <c r="U40" s="254">
        <f t="shared" si="4"/>
        <v>1230523.6158337365</v>
      </c>
      <c r="V40" s="254">
        <f t="shared" si="5"/>
        <v>1313714.9174999986</v>
      </c>
      <c r="W40" s="252">
        <f t="shared" si="6"/>
        <v>3488000</v>
      </c>
      <c r="X40" s="252">
        <f t="shared" si="2"/>
        <v>1000000</v>
      </c>
      <c r="Y40" s="252">
        <f t="shared" si="10"/>
        <v>6559993.2835385352</v>
      </c>
      <c r="Z40" s="255"/>
      <c r="AA40" s="255"/>
      <c r="AB40" s="255"/>
      <c r="AC40" s="255"/>
    </row>
    <row r="41" spans="2:29" ht="33" x14ac:dyDescent="0.35">
      <c r="B41" s="160" t="s">
        <v>65</v>
      </c>
      <c r="C41" s="22"/>
      <c r="D41" s="107"/>
      <c r="E41" s="179">
        <f>M47</f>
        <v>220000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9"/>
        <v>December 2028</v>
      </c>
      <c r="S41" s="252">
        <f t="shared" si="3"/>
        <v>7541693.3195809945</v>
      </c>
      <c r="T41" s="252"/>
      <c r="U41" s="254">
        <f t="shared" si="4"/>
        <v>1245777.9792990177</v>
      </c>
      <c r="V41" s="254">
        <f t="shared" si="5"/>
        <v>1328736.5816666652</v>
      </c>
      <c r="W41" s="252">
        <f t="shared" si="6"/>
        <v>4488000</v>
      </c>
      <c r="X41" s="252">
        <f t="shared" si="2"/>
        <v>0</v>
      </c>
      <c r="Y41" s="252">
        <f t="shared" si="10"/>
        <v>5628207.8805466779</v>
      </c>
      <c r="Z41" s="255"/>
      <c r="AA41" s="255"/>
      <c r="AB41" s="255"/>
      <c r="AC41" s="255"/>
    </row>
    <row r="42" spans="2:29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9"/>
        <v>January 2029</v>
      </c>
      <c r="S42" s="252">
        <f t="shared" si="3"/>
        <v>7585686.5306118838</v>
      </c>
      <c r="T42" s="252"/>
      <c r="U42" s="254">
        <f t="shared" si="4"/>
        <v>1261159.4624598429</v>
      </c>
      <c r="V42" s="254">
        <f t="shared" si="5"/>
        <v>1343758.2458333317</v>
      </c>
      <c r="W42" s="252">
        <f t="shared" si="6"/>
        <v>4488000</v>
      </c>
      <c r="X42" s="252">
        <f t="shared" si="2"/>
        <v>0</v>
      </c>
      <c r="Y42" s="252">
        <f t="shared" si="10"/>
        <v>5702604.2389050592</v>
      </c>
      <c r="Z42" s="255"/>
      <c r="AA42" s="255"/>
      <c r="AB42" s="255"/>
      <c r="AC42" s="255"/>
    </row>
    <row r="43" spans="2:29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183000</v>
      </c>
      <c r="N43" s="210"/>
      <c r="P43" s="249">
        <v>37</v>
      </c>
      <c r="Q43" s="251">
        <f t="shared" ca="1" si="7"/>
        <v>47171</v>
      </c>
      <c r="R43" s="251" t="str">
        <f t="shared" ca="1" si="9"/>
        <v>February 2029</v>
      </c>
      <c r="S43" s="252">
        <f t="shared" si="3"/>
        <v>7629936.3687071204</v>
      </c>
      <c r="T43" s="252"/>
      <c r="U43" s="254">
        <f t="shared" si="4"/>
        <v>1276669.1246470083</v>
      </c>
      <c r="V43" s="254">
        <f t="shared" si="5"/>
        <v>1358779.9099999983</v>
      </c>
      <c r="W43" s="252">
        <f t="shared" si="6"/>
        <v>4488000</v>
      </c>
      <c r="X43" s="252">
        <f t="shared" si="2"/>
        <v>0</v>
      </c>
      <c r="Y43" s="252">
        <f t="shared" si="10"/>
        <v>5777385.403354127</v>
      </c>
      <c r="Z43" s="255"/>
      <c r="AA43" s="255"/>
      <c r="AB43" s="255"/>
      <c r="AC43" s="255"/>
    </row>
    <row r="44" spans="2:29" ht="33" x14ac:dyDescent="0.35">
      <c r="B44" s="160" t="s">
        <v>2</v>
      </c>
      <c r="D44" s="182">
        <f>E44-I44</f>
        <v>1086000</v>
      </c>
      <c r="E44" s="179">
        <f>M50</f>
        <v>1900000</v>
      </c>
      <c r="G44" s="97" t="s">
        <v>6</v>
      </c>
      <c r="H44" s="22"/>
      <c r="I44" s="109">
        <f>M62</f>
        <v>814000</v>
      </c>
      <c r="K44" s="205"/>
      <c r="L44" s="212" t="s">
        <v>80</v>
      </c>
      <c r="M44" s="223">
        <v>194000</v>
      </c>
      <c r="N44" s="210"/>
      <c r="P44" s="249">
        <v>38</v>
      </c>
      <c r="Q44" s="251">
        <f t="shared" ca="1" si="7"/>
        <v>47201</v>
      </c>
      <c r="R44" s="251" t="str">
        <f t="shared" ca="1" si="9"/>
        <v>March 2029</v>
      </c>
      <c r="S44" s="252">
        <f t="shared" si="3"/>
        <v>7674444.3308579121</v>
      </c>
      <c r="T44" s="252"/>
      <c r="U44" s="254">
        <f t="shared" si="4"/>
        <v>1292308.0340190667</v>
      </c>
      <c r="V44" s="254">
        <f t="shared" si="5"/>
        <v>1373801.5741666649</v>
      </c>
      <c r="W44" s="252">
        <f t="shared" si="6"/>
        <v>4488000</v>
      </c>
      <c r="X44" s="252">
        <f t="shared" si="2"/>
        <v>0</v>
      </c>
      <c r="Y44" s="252">
        <f t="shared" si="10"/>
        <v>5852553.939043643</v>
      </c>
      <c r="Z44" s="255"/>
      <c r="AA44" s="255"/>
      <c r="AB44" s="255"/>
      <c r="AC44" s="255"/>
    </row>
    <row r="45" spans="2:29" ht="33" x14ac:dyDescent="0.35">
      <c r="B45" s="160" t="str">
        <f>L51</f>
        <v>Investment 1 - Forest Lake value</v>
      </c>
      <c r="D45" s="182">
        <f>E45-I45</f>
        <v>488000</v>
      </c>
      <c r="E45" s="179">
        <f>M51</f>
        <v>1000000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415000</v>
      </c>
      <c r="N45" s="210"/>
      <c r="P45" s="249">
        <v>39</v>
      </c>
      <c r="Q45" s="251">
        <f t="shared" ca="1" si="7"/>
        <v>47231</v>
      </c>
      <c r="R45" s="251" t="str">
        <f t="shared" ca="1" si="9"/>
        <v>April 2029</v>
      </c>
      <c r="S45" s="252">
        <f t="shared" si="3"/>
        <v>7719211.9227879168</v>
      </c>
      <c r="T45" s="252"/>
      <c r="U45" s="254">
        <f t="shared" si="4"/>
        <v>1308077.2676358921</v>
      </c>
      <c r="V45" s="254">
        <f t="shared" si="5"/>
        <v>1388823.2383333314</v>
      </c>
      <c r="W45" s="252">
        <f t="shared" si="6"/>
        <v>4488000</v>
      </c>
      <c r="X45" s="252">
        <f t="shared" si="2"/>
        <v>0</v>
      </c>
      <c r="Y45" s="252">
        <f t="shared" si="10"/>
        <v>5928112.4287571404</v>
      </c>
      <c r="Z45" s="255"/>
      <c r="AA45" s="255"/>
      <c r="AB45" s="255"/>
      <c r="AC45" s="255"/>
    </row>
    <row r="46" spans="2:29" ht="33" x14ac:dyDescent="0.35">
      <c r="B46" s="160" t="str">
        <f>L52</f>
        <v>Investment 2 - Strathpine value</v>
      </c>
      <c r="D46" s="182">
        <f>E46-I46</f>
        <v>490000</v>
      </c>
      <c r="E46" s="179">
        <f>M52</f>
        <v>650000</v>
      </c>
      <c r="G46" s="97" t="s">
        <v>4</v>
      </c>
      <c r="H46" s="22"/>
      <c r="I46" s="109">
        <f>M65</f>
        <v>160000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9"/>
        <v>May 2029</v>
      </c>
      <c r="S46" s="252">
        <f t="shared" si="3"/>
        <v>7764240.6590041798</v>
      </c>
      <c r="T46" s="252"/>
      <c r="U46" s="254">
        <f t="shared" si="4"/>
        <v>1323977.9115328579</v>
      </c>
      <c r="V46" s="254">
        <f t="shared" si="5"/>
        <v>1403844.902499998</v>
      </c>
      <c r="W46" s="252">
        <f t="shared" si="6"/>
        <v>4488000</v>
      </c>
      <c r="X46" s="252">
        <f t="shared" si="2"/>
        <v>0</v>
      </c>
      <c r="Y46" s="252">
        <f t="shared" si="10"/>
        <v>6004063.4730370361</v>
      </c>
      <c r="Z46" s="255"/>
      <c r="AA46" s="255"/>
      <c r="AB46" s="255"/>
      <c r="AC46" s="255"/>
    </row>
    <row r="47" spans="2:29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9"/>
        <v>June 2029</v>
      </c>
      <c r="S47" s="252">
        <f t="shared" si="3"/>
        <v>7809532.0628483715</v>
      </c>
      <c r="T47" s="252"/>
      <c r="U47" s="254">
        <f t="shared" si="4"/>
        <v>1340011.0607956317</v>
      </c>
      <c r="V47" s="254">
        <f t="shared" si="5"/>
        <v>1418866.5666666646</v>
      </c>
      <c r="W47" s="252">
        <f t="shared" si="6"/>
        <v>4488000</v>
      </c>
      <c r="X47" s="252">
        <f t="shared" si="2"/>
        <v>0</v>
      </c>
      <c r="Y47" s="252">
        <f t="shared" si="10"/>
        <v>6080409.6903106682</v>
      </c>
      <c r="Z47" s="255"/>
      <c r="AA47" s="255"/>
      <c r="AB47" s="255"/>
      <c r="AC47" s="255"/>
    </row>
    <row r="48" spans="2:29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9"/>
        <v>July 2029</v>
      </c>
      <c r="S48" s="252">
        <f t="shared" si="3"/>
        <v>7855087.6665483201</v>
      </c>
      <c r="T48" s="252"/>
      <c r="U48" s="254">
        <f t="shared" si="4"/>
        <v>1356177.8196355952</v>
      </c>
      <c r="V48" s="254">
        <f t="shared" si="5"/>
        <v>1433888.2308333311</v>
      </c>
      <c r="W48" s="252">
        <f t="shared" si="6"/>
        <v>4488000</v>
      </c>
      <c r="X48" s="252">
        <f t="shared" si="2"/>
        <v>0</v>
      </c>
      <c r="Y48" s="252">
        <f t="shared" si="10"/>
        <v>6157153.7170172464</v>
      </c>
      <c r="Z48" s="255"/>
      <c r="AA48" s="255"/>
      <c r="AB48" s="255"/>
      <c r="AC48" s="255"/>
    </row>
    <row r="49" spans="2:29" ht="34" thickBot="1" x14ac:dyDescent="0.4">
      <c r="B49" s="128" t="s">
        <v>156</v>
      </c>
      <c r="C49" s="108"/>
      <c r="D49" s="107"/>
      <c r="E49" s="148">
        <f>SUM(E34:E48)</f>
        <v>5580000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9"/>
        <v>August 2029</v>
      </c>
      <c r="S49" s="252">
        <f t="shared" si="3"/>
        <v>7900909.0112698525</v>
      </c>
      <c r="T49" s="252"/>
      <c r="U49" s="254">
        <f t="shared" si="4"/>
        <v>1372479.3014658918</v>
      </c>
      <c r="V49" s="254">
        <f t="shared" si="5"/>
        <v>1448909.8949999977</v>
      </c>
      <c r="W49" s="252">
        <f t="shared" si="6"/>
        <v>4488000</v>
      </c>
      <c r="X49" s="252">
        <f t="shared" si="2"/>
        <v>0</v>
      </c>
      <c r="Y49" s="252">
        <f t="shared" si="10"/>
        <v>6234298.2077357415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5160000</v>
      </c>
      <c r="G50" s="64" t="s">
        <v>59</v>
      </c>
      <c r="H50" s="51"/>
      <c r="I50" s="52">
        <f>SUM(I35:I49)</f>
        <v>1488000</v>
      </c>
      <c r="K50" s="206"/>
      <c r="L50" s="212" t="s">
        <v>82</v>
      </c>
      <c r="M50" s="223">
        <v>1900000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9"/>
        <v>September 2029</v>
      </c>
      <c r="S50" s="252">
        <f t="shared" si="3"/>
        <v>7946997.6471689269</v>
      </c>
      <c r="T50" s="252"/>
      <c r="U50" s="254">
        <f t="shared" si="4"/>
        <v>1388916.6289781076</v>
      </c>
      <c r="V50" s="254">
        <f t="shared" si="5"/>
        <v>1463931.5591666643</v>
      </c>
      <c r="W50" s="252">
        <f t="shared" si="6"/>
        <v>4488000</v>
      </c>
      <c r="X50" s="252">
        <f t="shared" si="2"/>
        <v>0</v>
      </c>
      <c r="Y50" s="252">
        <f t="shared" si="10"/>
        <v>6311845.8353136983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1000000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9"/>
        <v>October 2029</v>
      </c>
      <c r="S51" s="252">
        <f t="shared" si="3"/>
        <v>7993355.1334440792</v>
      </c>
      <c r="T51" s="252"/>
      <c r="U51" s="254">
        <f t="shared" si="4"/>
        <v>1405490.9342195918</v>
      </c>
      <c r="V51" s="254">
        <f t="shared" si="5"/>
        <v>1478953.2233333308</v>
      </c>
      <c r="W51" s="252">
        <f t="shared" si="6"/>
        <v>4488000</v>
      </c>
      <c r="X51" s="252">
        <f t="shared" si="2"/>
        <v>0</v>
      </c>
      <c r="Y51" s="252">
        <f t="shared" si="10"/>
        <v>6389799.2909970023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9"/>
        <v>November 2029</v>
      </c>
      <c r="S52" s="252">
        <f t="shared" si="3"/>
        <v>8039983.0383891696</v>
      </c>
      <c r="T52" s="252">
        <f>$V$4</f>
        <v>1000000</v>
      </c>
      <c r="U52" s="254">
        <f t="shared" si="4"/>
        <v>1422203.3586714217</v>
      </c>
      <c r="V52" s="254">
        <f t="shared" si="5"/>
        <v>1493974.8874999974</v>
      </c>
      <c r="W52" s="252">
        <f t="shared" si="6"/>
        <v>4488000</v>
      </c>
      <c r="X52" s="252">
        <f t="shared" si="2"/>
        <v>1000000</v>
      </c>
      <c r="Y52" s="252">
        <f t="shared" si="10"/>
        <v>7468161.2845605873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49">
        <v>47</v>
      </c>
      <c r="Q53" s="251">
        <f t="shared" ca="1" si="7"/>
        <v>47471</v>
      </c>
      <c r="R53" s="251" t="str">
        <f t="shared" ca="1" si="9"/>
        <v>December 2029</v>
      </c>
      <c r="S53" s="252">
        <f t="shared" si="3"/>
        <v>9086882.93944644</v>
      </c>
      <c r="T53" s="252"/>
      <c r="U53" s="254">
        <f t="shared" si="4"/>
        <v>1439055.0533270168</v>
      </c>
      <c r="V53" s="254">
        <f t="shared" si="5"/>
        <v>1508996.551666664</v>
      </c>
      <c r="W53" s="252">
        <f t="shared" si="6"/>
        <v>5488000</v>
      </c>
      <c r="X53" s="252">
        <f t="shared" si="2"/>
        <v>0</v>
      </c>
      <c r="Y53" s="252">
        <f t="shared" si="10"/>
        <v>6546934.5444401205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9"/>
        <v>January 2030</v>
      </c>
      <c r="S54" s="252">
        <f t="shared" si="3"/>
        <v>9139889.7565932106</v>
      </c>
      <c r="T54" s="252"/>
      <c r="U54" s="254">
        <f t="shared" si="4"/>
        <v>1456047.1787714085</v>
      </c>
      <c r="V54" s="254">
        <f t="shared" si="5"/>
        <v>1524018.2158333305</v>
      </c>
      <c r="W54" s="252">
        <f t="shared" si="6"/>
        <v>5488000</v>
      </c>
      <c r="X54" s="252">
        <f t="shared" si="2"/>
        <v>0</v>
      </c>
      <c r="Y54" s="252">
        <f t="shared" si="10"/>
        <v>6631955.1511979494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9"/>
        <v>February 2030</v>
      </c>
      <c r="S55" s="252">
        <f t="shared" si="3"/>
        <v>9193205.7801733371</v>
      </c>
      <c r="T55" s="252"/>
      <c r="U55" s="254">
        <f t="shared" si="4"/>
        <v>1473180.9052611701</v>
      </c>
      <c r="V55" s="254">
        <f t="shared" si="5"/>
        <v>1539039.8799999971</v>
      </c>
      <c r="W55" s="252">
        <f t="shared" si="6"/>
        <v>5488000</v>
      </c>
      <c r="X55" s="252">
        <f t="shared" si="2"/>
        <v>0</v>
      </c>
      <c r="Y55" s="252">
        <f t="shared" si="10"/>
        <v>6717426.5654345043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3672000</v>
      </c>
      <c r="E56" s="200"/>
      <c r="F56" s="201"/>
      <c r="G56" s="202" t="s">
        <v>158</v>
      </c>
      <c r="H56" s="203" t="s">
        <v>114</v>
      </c>
      <c r="I56" s="204">
        <f>I17-I28</f>
        <v>15021.664166666667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9"/>
        <v>March 2030</v>
      </c>
      <c r="S56" s="252">
        <f t="shared" si="3"/>
        <v>9246832.8138910159</v>
      </c>
      <c r="T56" s="252"/>
      <c r="U56" s="254">
        <f t="shared" si="4"/>
        <v>1490457.4128050131</v>
      </c>
      <c r="V56" s="254">
        <f t="shared" si="5"/>
        <v>1554061.5441666637</v>
      </c>
      <c r="W56" s="252">
        <f t="shared" si="6"/>
        <v>5488000</v>
      </c>
      <c r="X56" s="252">
        <f t="shared" si="2"/>
        <v>0</v>
      </c>
      <c r="Y56" s="252">
        <f t="shared" si="10"/>
        <v>6803351.770862693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9"/>
        <v>April 2030</v>
      </c>
      <c r="S57" s="252">
        <f t="shared" si="3"/>
        <v>9300772.6719720475</v>
      </c>
      <c r="T57" s="252"/>
      <c r="U57" s="254">
        <f t="shared" si="4"/>
        <v>1507877.8912450548</v>
      </c>
      <c r="V57" s="254">
        <f t="shared" si="5"/>
        <v>1569083.2083333302</v>
      </c>
      <c r="W57" s="252">
        <f t="shared" si="6"/>
        <v>5488000</v>
      </c>
      <c r="X57" s="252">
        <f t="shared" si="2"/>
        <v>0</v>
      </c>
      <c r="Y57" s="252">
        <f t="shared" si="10"/>
        <v>6889733.7715504318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4092000</v>
      </c>
      <c r="E58" s="130"/>
      <c r="G58" s="115" t="s">
        <v>113</v>
      </c>
      <c r="H58" s="115" t="s">
        <v>115</v>
      </c>
      <c r="I58" s="189">
        <f>I56*12</f>
        <v>180259.97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9"/>
        <v>May 2030</v>
      </c>
      <c r="S58" s="252">
        <f t="shared" si="3"/>
        <v>9355027.1792252176</v>
      </c>
      <c r="T58" s="252"/>
      <c r="U58" s="254">
        <f t="shared" si="4"/>
        <v>1525443.5403387635</v>
      </c>
      <c r="V58" s="254">
        <f t="shared" si="5"/>
        <v>1584104.8724999968</v>
      </c>
      <c r="W58" s="252">
        <f t="shared" si="6"/>
        <v>5488000</v>
      </c>
      <c r="X58" s="252">
        <f t="shared" si="2"/>
        <v>0</v>
      </c>
      <c r="Y58" s="252">
        <f t="shared" si="10"/>
        <v>6976575.5920639783</v>
      </c>
      <c r="Z58" s="255"/>
      <c r="AA58" s="255"/>
      <c r="AB58" s="255"/>
      <c r="AC58" s="255"/>
    </row>
    <row r="59" spans="2:29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9"/>
        <v>June 2030</v>
      </c>
      <c r="S59" s="252">
        <f t="shared" si="3"/>
        <v>9409598.1711040307</v>
      </c>
      <c r="T59" s="252"/>
      <c r="U59" s="254">
        <f t="shared" si="4"/>
        <v>1543155.5698415865</v>
      </c>
      <c r="V59" s="254">
        <f t="shared" si="5"/>
        <v>1599126.5366666634</v>
      </c>
      <c r="W59" s="252">
        <f t="shared" si="6"/>
        <v>5488000</v>
      </c>
      <c r="X59" s="252">
        <f t="shared" si="2"/>
        <v>0</v>
      </c>
      <c r="Y59" s="252">
        <f t="shared" si="10"/>
        <v>7063880.2776122801</v>
      </c>
      <c r="Z59" s="255"/>
      <c r="AA59" s="256"/>
      <c r="AB59" s="256"/>
      <c r="AC59" s="256"/>
    </row>
    <row r="60" spans="2:29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9"/>
        <v>July 2030</v>
      </c>
      <c r="S60" s="252">
        <f t="shared" si="3"/>
        <v>9464487.4937688038</v>
      </c>
      <c r="T60" s="252"/>
      <c r="U60" s="254">
        <f t="shared" si="4"/>
        <v>1561015.1995902664</v>
      </c>
      <c r="V60" s="254">
        <f t="shared" si="5"/>
        <v>1614148.2008333299</v>
      </c>
      <c r="W60" s="252">
        <f t="shared" si="6"/>
        <v>5488000</v>
      </c>
      <c r="X60" s="252">
        <f t="shared" si="2"/>
        <v>0</v>
      </c>
      <c r="Y60" s="252">
        <f t="shared" si="10"/>
        <v>7151650.8941923995</v>
      </c>
      <c r="Z60" s="255"/>
      <c r="AA60" s="256"/>
      <c r="AB60" s="256"/>
      <c r="AC60" s="256"/>
    </row>
    <row r="61" spans="2:29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9"/>
        <v>August 2030</v>
      </c>
      <c r="S61" s="252">
        <f t="shared" si="3"/>
        <v>9519697.0041491222</v>
      </c>
      <c r="T61" s="252"/>
      <c r="U61" s="254">
        <f t="shared" si="4"/>
        <v>1579023.659586852</v>
      </c>
      <c r="V61" s="254">
        <f t="shared" si="5"/>
        <v>1629169.8649999965</v>
      </c>
      <c r="W61" s="252">
        <f t="shared" si="6"/>
        <v>5488000</v>
      </c>
      <c r="X61" s="252">
        <f t="shared" si="2"/>
        <v>0</v>
      </c>
      <c r="Y61" s="252">
        <f t="shared" si="10"/>
        <v>7239890.5287359711</v>
      </c>
      <c r="Z61" s="255"/>
      <c r="AA61" s="256"/>
      <c r="AB61" s="256"/>
      <c r="AC61" s="256"/>
    </row>
    <row r="62" spans="2:29" s="17" customFormat="1" ht="45" x14ac:dyDescent="0.35">
      <c r="B62" s="234" t="s">
        <v>105</v>
      </c>
      <c r="C62" s="118"/>
      <c r="D62" s="106">
        <f>SUM(I44:I47)</f>
        <v>1486000</v>
      </c>
      <c r="E62" s="118"/>
      <c r="F62" s="22"/>
      <c r="G62" s="195" t="s">
        <v>1</v>
      </c>
      <c r="H62" s="195" t="s">
        <v>114</v>
      </c>
      <c r="I62" s="196">
        <f>H5</f>
        <v>2359.6</v>
      </c>
      <c r="J62" s="18"/>
      <c r="K62" s="205"/>
      <c r="L62" s="212" t="s">
        <v>85</v>
      </c>
      <c r="M62" s="223">
        <v>814000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9"/>
        <v>September 2030</v>
      </c>
      <c r="S62" s="252">
        <f t="shared" si="3"/>
        <v>9575228.5700066593</v>
      </c>
      <c r="T62" s="252"/>
      <c r="U62" s="254">
        <f t="shared" si="4"/>
        <v>1597182.190083409</v>
      </c>
      <c r="V62" s="254">
        <f t="shared" si="5"/>
        <v>1644191.5291666631</v>
      </c>
      <c r="W62" s="252">
        <f t="shared" si="6"/>
        <v>5488000</v>
      </c>
      <c r="X62" s="252">
        <f t="shared" si="2"/>
        <v>0</v>
      </c>
      <c r="Y62" s="252">
        <f t="shared" si="10"/>
        <v>7328602.289256731</v>
      </c>
      <c r="Z62" s="255"/>
      <c r="AA62" s="256"/>
      <c r="AB62" s="256"/>
      <c r="AC62" s="256"/>
    </row>
    <row r="63" spans="2:29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9"/>
        <v>October 2030</v>
      </c>
      <c r="S63" s="252">
        <f t="shared" si="3"/>
        <v>9631084.0699983649</v>
      </c>
      <c r="T63" s="252"/>
      <c r="U63" s="254">
        <f t="shared" si="4"/>
        <v>1615492.0416674374</v>
      </c>
      <c r="V63" s="254">
        <f t="shared" si="5"/>
        <v>1659213.1933333296</v>
      </c>
      <c r="W63" s="252">
        <f t="shared" si="6"/>
        <v>5488000</v>
      </c>
      <c r="X63" s="252">
        <f t="shared" si="2"/>
        <v>0</v>
      </c>
      <c r="Y63" s="252">
        <f t="shared" si="10"/>
        <v>7417789.3049991317</v>
      </c>
      <c r="Z63" s="255"/>
      <c r="AA63" s="256"/>
      <c r="AB63" s="256"/>
      <c r="AC63" s="256"/>
    </row>
    <row r="64" spans="2:29" s="17" customFormat="1" ht="33" x14ac:dyDescent="0.35">
      <c r="B64" s="234" t="s">
        <v>100</v>
      </c>
      <c r="C64" s="118"/>
      <c r="D64" s="106">
        <f>SUM(E44:E47)</f>
        <v>3550000</v>
      </c>
      <c r="E64" s="118"/>
      <c r="F64" s="22"/>
      <c r="G64" s="117" t="s">
        <v>126</v>
      </c>
      <c r="H64" s="117" t="s">
        <v>114</v>
      </c>
      <c r="I64" s="192">
        <f>I28-H5</f>
        <v>8528.7358333333323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7"/>
        <v>47801</v>
      </c>
      <c r="R64" s="251" t="str">
        <f t="shared" ca="1" si="9"/>
        <v>November 2030</v>
      </c>
      <c r="S64" s="252">
        <f t="shared" si="3"/>
        <v>9687265.3937400226</v>
      </c>
      <c r="T64" s="252">
        <f>$V$4</f>
        <v>1000000</v>
      </c>
      <c r="U64" s="254">
        <f t="shared" si="4"/>
        <v>1633954.4753479993</v>
      </c>
      <c r="V64" s="254">
        <f t="shared" si="5"/>
        <v>1674234.8574999962</v>
      </c>
      <c r="W64" s="252">
        <f t="shared" si="6"/>
        <v>5488000</v>
      </c>
      <c r="X64" s="252">
        <f t="shared" si="2"/>
        <v>1000000</v>
      </c>
      <c r="Y64" s="252">
        <f t="shared" si="10"/>
        <v>8507454.7265880182</v>
      </c>
      <c r="Z64" s="255"/>
      <c r="AA64" s="256"/>
      <c r="AB64" s="256"/>
      <c r="AC64" s="256"/>
    </row>
    <row r="65" spans="2:29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160000</v>
      </c>
      <c r="N65" s="205"/>
      <c r="O65" s="18"/>
      <c r="P65" s="249">
        <v>59</v>
      </c>
      <c r="Q65" s="251">
        <f t="shared" ca="1" si="7"/>
        <v>47831</v>
      </c>
      <c r="R65" s="251" t="str">
        <f t="shared" ca="1" si="9"/>
        <v>December 2030</v>
      </c>
      <c r="S65" s="252">
        <f t="shared" si="3"/>
        <v>10743774.441870173</v>
      </c>
      <c r="T65" s="252"/>
      <c r="U65" s="254">
        <f t="shared" si="4"/>
        <v>1652570.7626425659</v>
      </c>
      <c r="V65" s="254">
        <f t="shared" si="5"/>
        <v>1689256.5216666628</v>
      </c>
      <c r="W65" s="252">
        <f t="shared" si="6"/>
        <v>6488000</v>
      </c>
      <c r="X65" s="252">
        <f t="shared" si="2"/>
        <v>0</v>
      </c>
      <c r="Y65" s="252">
        <f t="shared" si="10"/>
        <v>7597601.7261794023</v>
      </c>
      <c r="Z65" s="255"/>
      <c r="AA65" s="256"/>
      <c r="AB65" s="256"/>
      <c r="AC65" s="256"/>
    </row>
    <row r="66" spans="2:29" ht="33" x14ac:dyDescent="0.35">
      <c r="B66" s="234" t="s">
        <v>101</v>
      </c>
      <c r="C66" s="118"/>
      <c r="D66" s="237">
        <f>SUM(D44:D47)</f>
        <v>2064000</v>
      </c>
      <c r="E66" s="118"/>
      <c r="G66" s="117" t="s">
        <v>125</v>
      </c>
      <c r="H66" s="117"/>
      <c r="I66" s="192">
        <f>I64*12/0.08</f>
        <v>1279310.3749999998</v>
      </c>
      <c r="K66" s="205"/>
      <c r="L66" s="212" t="s">
        <v>123</v>
      </c>
      <c r="M66" s="223"/>
      <c r="N66" s="205"/>
      <c r="P66" s="249">
        <v>60</v>
      </c>
      <c r="Q66" s="251">
        <f ca="1">Q65+30</f>
        <v>47861</v>
      </c>
      <c r="R66" s="251" t="str">
        <f t="shared" ca="1" si="9"/>
        <v>January 2031</v>
      </c>
      <c r="S66" s="252">
        <f t="shared" si="3"/>
        <v>10806446.459447749</v>
      </c>
      <c r="T66" s="252"/>
      <c r="U66" s="254">
        <f t="shared" si="4"/>
        <v>1671342.1856645872</v>
      </c>
      <c r="V66" s="254">
        <f t="shared" si="5"/>
        <v>1704278.1858333293</v>
      </c>
      <c r="W66" s="252">
        <f t="shared" si="6"/>
        <v>6488000</v>
      </c>
      <c r="X66" s="252">
        <f t="shared" si="2"/>
        <v>0</v>
      </c>
      <c r="Y66" s="252">
        <f t="shared" si="10"/>
        <v>7694066.830945665</v>
      </c>
      <c r="Z66" s="255"/>
      <c r="AA66" s="255"/>
      <c r="AB66" s="255"/>
      <c r="AC66" s="255"/>
    </row>
    <row r="67" spans="2:29" ht="34" thickBot="1" x14ac:dyDescent="0.4">
      <c r="B67" s="238"/>
      <c r="C67" s="118"/>
      <c r="D67" s="237"/>
      <c r="E67" s="118"/>
      <c r="G67" s="113" t="s">
        <v>181</v>
      </c>
      <c r="H67" s="99"/>
      <c r="I67" s="262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4" t="s">
        <v>29</v>
      </c>
      <c r="C68" s="118"/>
      <c r="D68" s="239">
        <f>D62/D64</f>
        <v>0.41859154929577463</v>
      </c>
      <c r="E68" s="118"/>
      <c r="H68" s="99"/>
      <c r="I68" s="263"/>
      <c r="K68" s="205"/>
      <c r="L68" s="206"/>
      <c r="M68" s="205"/>
      <c r="N68" s="205"/>
    </row>
    <row r="69" spans="2:29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9" ht="33" x14ac:dyDescent="0.35">
      <c r="B70" s="234" t="s">
        <v>121</v>
      </c>
      <c r="C70" s="118"/>
      <c r="D70" s="237">
        <f>(80%-D68)*D64</f>
        <v>1354000.0000000002</v>
      </c>
      <c r="E70" s="118"/>
      <c r="G70" s="114"/>
      <c r="H70" s="99"/>
      <c r="I70" s="147"/>
      <c r="L70" s="119"/>
      <c r="M70" s="120"/>
    </row>
    <row r="71" spans="2:29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818000</v>
      </c>
      <c r="L71" s="247"/>
      <c r="M71" s="120"/>
    </row>
    <row r="72" spans="2:29" ht="29" customHeight="1" x14ac:dyDescent="0.35">
      <c r="B72" s="137"/>
      <c r="E72" s="99"/>
      <c r="G72" s="232" t="s">
        <v>163</v>
      </c>
      <c r="H72" s="232"/>
      <c r="I72" s="233">
        <f>SUM(E37:E39)</f>
        <v>792000</v>
      </c>
      <c r="L72" s="246"/>
      <c r="M72" s="248"/>
    </row>
    <row r="73" spans="2:29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1610000</v>
      </c>
      <c r="L73" s="246"/>
      <c r="M73" s="119"/>
    </row>
    <row r="74" spans="2:29" ht="29" customHeight="1" x14ac:dyDescent="0.35">
      <c r="B74" s="125"/>
      <c r="E74" s="99"/>
      <c r="H74" s="99"/>
      <c r="I74" s="147"/>
      <c r="L74" s="246"/>
      <c r="M74" s="119"/>
      <c r="N74" s="119"/>
    </row>
    <row r="75" spans="2:29" ht="29" customHeight="1" x14ac:dyDescent="0.35">
      <c r="B75" s="138" t="s">
        <v>128</v>
      </c>
      <c r="C75" s="131"/>
      <c r="D75" s="102">
        <f>D78-D62</f>
        <v>561204.88034027838</v>
      </c>
      <c r="E75" s="131"/>
      <c r="G75" s="114" t="s">
        <v>127</v>
      </c>
      <c r="H75" s="99"/>
      <c r="I75" s="147"/>
      <c r="L75" s="119"/>
      <c r="M75" s="119"/>
      <c r="N75" s="119"/>
    </row>
    <row r="76" spans="2:29" ht="29" customHeight="1" x14ac:dyDescent="0.35">
      <c r="B76" s="137" t="s">
        <v>112</v>
      </c>
      <c r="E76" s="99"/>
      <c r="G76" s="22"/>
      <c r="H76" s="99"/>
      <c r="I76" s="147"/>
      <c r="L76" s="247"/>
      <c r="M76" s="120"/>
      <c r="N76" s="119"/>
    </row>
    <row r="77" spans="2:29" ht="29" customHeight="1" x14ac:dyDescent="0.35">
      <c r="B77" s="137"/>
      <c r="E77" s="113"/>
      <c r="G77" s="601" t="s">
        <v>165</v>
      </c>
      <c r="H77" s="602"/>
      <c r="I77" s="194">
        <f>SUM(E34:E39)/(I28-H5)</f>
        <v>188.77358045345332</v>
      </c>
      <c r="L77" s="246"/>
      <c r="M77" s="248"/>
      <c r="N77" s="119"/>
    </row>
    <row r="78" spans="2:29" ht="29" customHeight="1" x14ac:dyDescent="0.35">
      <c r="B78" s="138" t="s">
        <v>117</v>
      </c>
      <c r="C78" s="131"/>
      <c r="D78" s="102">
        <f>PV(8%/12,30*12,H22,0)*-1</f>
        <v>2047204.8803402784</v>
      </c>
      <c r="E78" s="131"/>
      <c r="G78" s="601" t="s">
        <v>166</v>
      </c>
      <c r="H78" s="602"/>
      <c r="I78" s="194">
        <f>SUM(E34:E39)/(I28-H5)/12</f>
        <v>15.731131704454443</v>
      </c>
      <c r="L78" s="246"/>
      <c r="M78" s="119"/>
    </row>
    <row r="79" spans="2:29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1.7613002044167745</v>
      </c>
      <c r="L79" s="246"/>
      <c r="M79" s="119"/>
    </row>
    <row r="80" spans="2:29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L2:M2"/>
    <mergeCell ref="G77:H77"/>
    <mergeCell ref="G78:H78"/>
    <mergeCell ref="G79:H79"/>
    <mergeCell ref="G71:H71"/>
    <mergeCell ref="B52:I52"/>
    <mergeCell ref="B30:I30"/>
    <mergeCell ref="B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AE09-A561-974E-A50D-C605A0A3086F}">
  <dimension ref="B1:AI94"/>
  <sheetViews>
    <sheetView showGridLines="0" zoomScale="50" zoomScaleNormal="70" workbookViewId="0">
      <selection activeCell="I17" sqref="I17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5000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1000000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2494</v>
      </c>
      <c r="I5" s="143">
        <f>H5*12</f>
        <v>29928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97" t="s">
        <v>40</v>
      </c>
      <c r="C6" s="164">
        <f>D6*12</f>
        <v>276000</v>
      </c>
      <c r="D6" s="165">
        <f>M6</f>
        <v>23000</v>
      </c>
      <c r="E6" s="166"/>
      <c r="F6" s="61"/>
      <c r="G6" s="39"/>
      <c r="H6" s="55"/>
      <c r="I6" s="56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SUM(E44:E46)</f>
        <v>3550000</v>
      </c>
      <c r="T7" s="252"/>
      <c r="U7" s="252">
        <f>SUM(E37:E39)</f>
        <v>915000</v>
      </c>
      <c r="V7" s="252">
        <f>$E$34</f>
        <v>818000</v>
      </c>
      <c r="W7" s="252">
        <f>$I$50</f>
        <v>1488000</v>
      </c>
      <c r="X7" s="252">
        <f>T7</f>
        <v>0</v>
      </c>
      <c r="Y7" s="252">
        <f t="shared" ref="Y7:Y38" si="1">SUM(S7:V7)-W7</f>
        <v>3795000</v>
      </c>
      <c r="Z7" s="255"/>
      <c r="AA7" s="255"/>
      <c r="AB7" s="255"/>
      <c r="AC7" s="255"/>
    </row>
    <row r="8" spans="2:35" ht="33" x14ac:dyDescent="0.35">
      <c r="B8" s="97" t="s">
        <v>42</v>
      </c>
      <c r="C8" s="167"/>
      <c r="D8" s="165">
        <f>M8</f>
        <v>10</v>
      </c>
      <c r="E8" s="169">
        <f>D8</f>
        <v>10</v>
      </c>
      <c r="F8" s="54"/>
      <c r="G8" s="97"/>
      <c r="H8" s="44"/>
      <c r="I8" s="47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3570708.3333333335</v>
      </c>
      <c r="T8" s="252"/>
      <c r="U8" s="254">
        <f>($V$2/12+1)*U7+$V$3</f>
        <v>927625</v>
      </c>
      <c r="V8" s="254">
        <f>V7+$I$56</f>
        <v>836156.06416666671</v>
      </c>
      <c r="W8" s="252">
        <f>W7+X7</f>
        <v>1488000</v>
      </c>
      <c r="X8" s="252">
        <f t="shared" ref="X8:X66" si="2">T8</f>
        <v>0</v>
      </c>
      <c r="Y8" s="252">
        <f t="shared" si="1"/>
        <v>3846489.3975000009</v>
      </c>
      <c r="Z8" s="255"/>
      <c r="AA8" s="255"/>
      <c r="AB8" s="255"/>
      <c r="AC8" s="255"/>
    </row>
    <row r="9" spans="2:35" ht="33" x14ac:dyDescent="0.35">
      <c r="B9" s="97" t="s">
        <v>43</v>
      </c>
      <c r="C9" s="167"/>
      <c r="D9" s="165">
        <f>M9</f>
        <v>830</v>
      </c>
      <c r="E9" s="169">
        <f>D9</f>
        <v>830</v>
      </c>
      <c r="F9" s="54"/>
      <c r="G9" s="97"/>
      <c r="H9" s="44"/>
      <c r="I9" s="47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3591537.465277778</v>
      </c>
      <c r="T9" s="252"/>
      <c r="U9" s="254">
        <f t="shared" ref="U9:U66" si="4">($V$2/12+1)*U8+$V$3</f>
        <v>940355.20833333326</v>
      </c>
      <c r="V9" s="254">
        <f t="shared" ref="V9:V66" si="5">V8+$I$56</f>
        <v>854312.12833333341</v>
      </c>
      <c r="W9" s="252">
        <f t="shared" ref="W9:W66" si="6">W8+X8</f>
        <v>1488000</v>
      </c>
      <c r="X9" s="252">
        <f t="shared" si="2"/>
        <v>0</v>
      </c>
      <c r="Y9" s="252">
        <f t="shared" si="1"/>
        <v>3898204.801944444</v>
      </c>
      <c r="Z9" s="255"/>
      <c r="AA9" s="255"/>
      <c r="AB9" s="255"/>
      <c r="AC9" s="255"/>
    </row>
    <row r="10" spans="2:35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3612488.1004918986</v>
      </c>
      <c r="T10" s="252"/>
      <c r="U10" s="254">
        <f t="shared" si="4"/>
        <v>953191.50173611101</v>
      </c>
      <c r="V10" s="254">
        <f t="shared" si="5"/>
        <v>872468.19250000012</v>
      </c>
      <c r="W10" s="252">
        <f t="shared" si="6"/>
        <v>1488000</v>
      </c>
      <c r="X10" s="252">
        <f t="shared" si="2"/>
        <v>0</v>
      </c>
      <c r="Y10" s="252">
        <f t="shared" si="1"/>
        <v>3950147.79472801</v>
      </c>
      <c r="Z10" s="255"/>
      <c r="AA10" s="255"/>
      <c r="AB10" s="255"/>
      <c r="AC10" s="255"/>
    </row>
    <row r="11" spans="2:35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3633560.9477447681</v>
      </c>
      <c r="T11" s="252"/>
      <c r="U11" s="254">
        <f t="shared" si="4"/>
        <v>966134.76425057859</v>
      </c>
      <c r="V11" s="254">
        <f t="shared" si="5"/>
        <v>890624.25666666683</v>
      </c>
      <c r="W11" s="252">
        <f t="shared" si="6"/>
        <v>1488000</v>
      </c>
      <c r="X11" s="252">
        <f t="shared" si="2"/>
        <v>0</v>
      </c>
      <c r="Y11" s="252">
        <f t="shared" si="1"/>
        <v>4002319.9686620133</v>
      </c>
      <c r="Z11" s="255"/>
      <c r="AA11" s="255"/>
      <c r="AB11" s="255"/>
      <c r="AC11" s="255"/>
    </row>
    <row r="12" spans="2:35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3654756.7199399462</v>
      </c>
      <c r="T12" s="252"/>
      <c r="U12" s="254">
        <f t="shared" si="4"/>
        <v>979185.88728600007</v>
      </c>
      <c r="V12" s="254">
        <f t="shared" si="5"/>
        <v>908780.32083333354</v>
      </c>
      <c r="W12" s="252">
        <f t="shared" si="6"/>
        <v>1488000</v>
      </c>
      <c r="X12" s="252">
        <f t="shared" si="2"/>
        <v>0</v>
      </c>
      <c r="Y12" s="252">
        <f t="shared" si="1"/>
        <v>4054722.9280592799</v>
      </c>
      <c r="Z12" s="255"/>
      <c r="AA12" s="255"/>
      <c r="AB12" s="255"/>
      <c r="AC12" s="255"/>
    </row>
    <row r="13" spans="2:35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3676076.134139596</v>
      </c>
      <c r="T13" s="252"/>
      <c r="U13" s="254">
        <f t="shared" si="4"/>
        <v>992345.76968005009</v>
      </c>
      <c r="V13" s="254">
        <f t="shared" si="5"/>
        <v>926936.38500000024</v>
      </c>
      <c r="W13" s="252">
        <f t="shared" si="6"/>
        <v>1488000</v>
      </c>
      <c r="X13" s="252">
        <f t="shared" si="2"/>
        <v>0</v>
      </c>
      <c r="Y13" s="252">
        <f t="shared" si="1"/>
        <v>4107358.2888196465</v>
      </c>
      <c r="Z13" s="255"/>
      <c r="AA13" s="255"/>
      <c r="AB13" s="255"/>
      <c r="AC13" s="255"/>
    </row>
    <row r="14" spans="2:35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84</v>
      </c>
      <c r="F14" s="41"/>
      <c r="G14" s="97" t="s">
        <v>68</v>
      </c>
      <c r="H14" s="145">
        <f>C14/E45</f>
        <v>3.2239999999999998E-2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3697519.9115887438</v>
      </c>
      <c r="T14" s="252"/>
      <c r="U14" s="254">
        <f t="shared" si="4"/>
        <v>1005615.3177607171</v>
      </c>
      <c r="V14" s="254">
        <f t="shared" si="5"/>
        <v>945092.44916666695</v>
      </c>
      <c r="W14" s="252">
        <f t="shared" si="6"/>
        <v>1488000</v>
      </c>
      <c r="X14" s="252">
        <f t="shared" si="2"/>
        <v>0</v>
      </c>
      <c r="Y14" s="252">
        <f t="shared" si="1"/>
        <v>4160227.6785161272</v>
      </c>
      <c r="Z14" s="255"/>
      <c r="AA14" s="255"/>
      <c r="AB14" s="255"/>
      <c r="AC14" s="255"/>
    </row>
    <row r="15" spans="2:35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1570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3719088.777739678</v>
      </c>
      <c r="T15" s="252"/>
      <c r="U15" s="254">
        <f t="shared" si="4"/>
        <v>1018995.4454087231</v>
      </c>
      <c r="V15" s="254">
        <f t="shared" si="5"/>
        <v>963248.51333333366</v>
      </c>
      <c r="W15" s="252">
        <f t="shared" si="6"/>
        <v>1488000</v>
      </c>
      <c r="X15" s="252">
        <f t="shared" si="2"/>
        <v>0</v>
      </c>
      <c r="Y15" s="252">
        <f t="shared" si="1"/>
        <v>4213332.7364817346</v>
      </c>
      <c r="Z15" s="255"/>
      <c r="AA15" s="255"/>
      <c r="AB15" s="255"/>
      <c r="AC15" s="255"/>
    </row>
    <row r="16" spans="2:35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3740783.4622764927</v>
      </c>
      <c r="T16" s="252"/>
      <c r="U16" s="254">
        <f t="shared" si="4"/>
        <v>1032487.0741204624</v>
      </c>
      <c r="V16" s="254">
        <f t="shared" si="5"/>
        <v>981404.57750000036</v>
      </c>
      <c r="W16" s="252">
        <f t="shared" si="6"/>
        <v>1488000</v>
      </c>
      <c r="X16" s="252">
        <f t="shared" si="2"/>
        <v>0</v>
      </c>
      <c r="Y16" s="252">
        <f t="shared" si="1"/>
        <v>4266675.1138969557</v>
      </c>
      <c r="Z16" s="255"/>
      <c r="AA16" s="255"/>
      <c r="AB16" s="255"/>
      <c r="AC16" s="255"/>
    </row>
    <row r="17" spans="2:29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28910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3762604.6991397724</v>
      </c>
      <c r="T17" s="252">
        <f>$V$4</f>
        <v>1000000</v>
      </c>
      <c r="U17" s="254">
        <f t="shared" si="4"/>
        <v>1046091.1330714662</v>
      </c>
      <c r="V17" s="254">
        <f t="shared" si="5"/>
        <v>999560.64166666707</v>
      </c>
      <c r="W17" s="252">
        <f t="shared" si="6"/>
        <v>1488000</v>
      </c>
      <c r="X17" s="252">
        <f t="shared" si="2"/>
        <v>1000000</v>
      </c>
      <c r="Y17" s="252">
        <f t="shared" si="1"/>
        <v>5320256.4738779049</v>
      </c>
      <c r="Z17" s="255"/>
      <c r="AA17" s="255"/>
      <c r="AB17" s="255"/>
      <c r="AC17" s="255"/>
    </row>
    <row r="18" spans="2:29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4784553.226551421</v>
      </c>
      <c r="T18" s="252"/>
      <c r="U18" s="254">
        <f t="shared" si="4"/>
        <v>1059808.559180395</v>
      </c>
      <c r="V18" s="254">
        <f t="shared" si="5"/>
        <v>1017716.7058333338</v>
      </c>
      <c r="W18" s="252">
        <f t="shared" si="6"/>
        <v>2488000</v>
      </c>
      <c r="X18" s="252">
        <f t="shared" si="2"/>
        <v>0</v>
      </c>
      <c r="Y18" s="252">
        <f t="shared" si="1"/>
        <v>4374078.4915651493</v>
      </c>
      <c r="Z18" s="255"/>
      <c r="AA18" s="255"/>
      <c r="AB18" s="255"/>
      <c r="AC18" s="255"/>
    </row>
    <row r="19" spans="2:29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4812463.1203729715</v>
      </c>
      <c r="T19" s="252"/>
      <c r="U19" s="254">
        <f t="shared" si="4"/>
        <v>1073640.297173565</v>
      </c>
      <c r="V19" s="254">
        <f t="shared" si="5"/>
        <v>1035872.7700000005</v>
      </c>
      <c r="W19" s="252">
        <f t="shared" si="6"/>
        <v>2488000</v>
      </c>
      <c r="X19" s="252">
        <f t="shared" si="2"/>
        <v>0</v>
      </c>
      <c r="Y19" s="252">
        <f t="shared" si="1"/>
        <v>4433976.1875465373</v>
      </c>
      <c r="Z19" s="255"/>
      <c r="AA19" s="255"/>
      <c r="AB19" s="255"/>
      <c r="AC19" s="255"/>
    </row>
    <row r="20" spans="2:29" ht="33" x14ac:dyDescent="0.35">
      <c r="B20" s="97" t="s">
        <v>36</v>
      </c>
      <c r="C20" s="175">
        <f t="shared" ref="C20:C23" si="8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4840535.8219084805</v>
      </c>
      <c r="T20" s="252"/>
      <c r="U20" s="254">
        <f t="shared" si="4"/>
        <v>1087587.2996500114</v>
      </c>
      <c r="V20" s="254">
        <f t="shared" si="5"/>
        <v>1054028.8341666672</v>
      </c>
      <c r="W20" s="252">
        <f t="shared" si="6"/>
        <v>2488000</v>
      </c>
      <c r="X20" s="252">
        <f t="shared" si="2"/>
        <v>0</v>
      </c>
      <c r="Y20" s="252">
        <f t="shared" si="1"/>
        <v>4494151.9557251595</v>
      </c>
      <c r="Z20" s="255"/>
      <c r="AA20" s="255"/>
      <c r="AB20" s="255"/>
      <c r="AC20" s="255"/>
    </row>
    <row r="21" spans="2:29" ht="34" thickBot="1" x14ac:dyDescent="0.4">
      <c r="B21" s="97" t="str">
        <f>L21</f>
        <v>Interest Forest Lake</v>
      </c>
      <c r="C21" s="175">
        <f t="shared" si="8"/>
        <v>31232</v>
      </c>
      <c r="D21" s="176">
        <f>M21*I45/12</f>
        <v>2602.6666666666665</v>
      </c>
      <c r="E21" s="48"/>
      <c r="F21" s="121"/>
      <c r="G21" s="125"/>
      <c r="H21" s="22"/>
      <c r="I21" s="147"/>
      <c r="K21" s="205"/>
      <c r="L21" s="212" t="s">
        <v>167</v>
      </c>
      <c r="M21" s="225">
        <v>6.0999999999999999E-2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4868772.2808696134</v>
      </c>
      <c r="T21" s="252"/>
      <c r="U21" s="254">
        <f t="shared" si="4"/>
        <v>1101650.5271470947</v>
      </c>
      <c r="V21" s="254">
        <f t="shared" si="5"/>
        <v>1072184.8983333339</v>
      </c>
      <c r="W21" s="252">
        <f t="shared" si="6"/>
        <v>2488000</v>
      </c>
      <c r="X21" s="252">
        <f t="shared" si="2"/>
        <v>0</v>
      </c>
      <c r="Y21" s="252">
        <f t="shared" si="1"/>
        <v>4554607.7063500416</v>
      </c>
      <c r="Z21" s="255"/>
      <c r="AA21" s="255"/>
      <c r="AB21" s="255"/>
      <c r="AC21" s="255"/>
    </row>
    <row r="22" spans="2:29" ht="34" thickBot="1" x14ac:dyDescent="0.4">
      <c r="B22" s="97" t="str">
        <f>L22</f>
        <v>Interest Strathpine</v>
      </c>
      <c r="C22" s="175">
        <f t="shared" si="8"/>
        <v>9760</v>
      </c>
      <c r="D22" s="176">
        <f>M22*I46/12</f>
        <v>813.33333333333337</v>
      </c>
      <c r="E22" s="49"/>
      <c r="F22" s="122"/>
      <c r="G22" s="157" t="s">
        <v>86</v>
      </c>
      <c r="H22" s="104">
        <f>I17-I28</f>
        <v>18156.064166666667</v>
      </c>
      <c r="I22" s="147"/>
      <c r="K22" s="205"/>
      <c r="L22" s="212" t="s">
        <v>168</v>
      </c>
      <c r="M22" s="225">
        <v>6.0999999999999999E-2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4897173.4525080193</v>
      </c>
      <c r="T22" s="252"/>
      <c r="U22" s="254">
        <f t="shared" si="4"/>
        <v>1115830.9482066538</v>
      </c>
      <c r="V22" s="254">
        <f t="shared" si="5"/>
        <v>1090340.9625000006</v>
      </c>
      <c r="W22" s="252">
        <f t="shared" si="6"/>
        <v>2488000</v>
      </c>
      <c r="X22" s="252">
        <f t="shared" si="2"/>
        <v>0</v>
      </c>
      <c r="Y22" s="252">
        <f t="shared" si="1"/>
        <v>4615345.3632146735</v>
      </c>
      <c r="Z22" s="255"/>
      <c r="AA22" s="255"/>
      <c r="AB22" s="255"/>
      <c r="AC22" s="255"/>
    </row>
    <row r="23" spans="2:29" ht="33" x14ac:dyDescent="0.35">
      <c r="B23" s="97" t="s">
        <v>123</v>
      </c>
      <c r="C23" s="175">
        <f t="shared" si="8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4925740.2976476494</v>
      </c>
      <c r="T23" s="252"/>
      <c r="U23" s="254">
        <f t="shared" si="4"/>
        <v>1130129.5394417092</v>
      </c>
      <c r="V23" s="254">
        <f t="shared" si="5"/>
        <v>1108497.0266666673</v>
      </c>
      <c r="W23" s="252">
        <f t="shared" si="6"/>
        <v>2488000</v>
      </c>
      <c r="X23" s="252">
        <f t="shared" si="2"/>
        <v>0</v>
      </c>
      <c r="Y23" s="252">
        <f t="shared" si="1"/>
        <v>4676366.8637560261</v>
      </c>
      <c r="Z23" s="255"/>
      <c r="AA23" s="255"/>
      <c r="AB23" s="255"/>
      <c r="AC23" s="255"/>
    </row>
    <row r="24" spans="2:29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4954473.7827172605</v>
      </c>
      <c r="T24" s="252"/>
      <c r="U24" s="254">
        <f t="shared" si="4"/>
        <v>1144547.2856037235</v>
      </c>
      <c r="V24" s="254">
        <f t="shared" si="5"/>
        <v>1126653.090833334</v>
      </c>
      <c r="W24" s="252">
        <f t="shared" si="6"/>
        <v>2488000</v>
      </c>
      <c r="X24" s="252">
        <f t="shared" si="2"/>
        <v>0</v>
      </c>
      <c r="Y24" s="252">
        <f t="shared" si="1"/>
        <v>4737674.1591543183</v>
      </c>
      <c r="Z24" s="255"/>
      <c r="AA24" s="255"/>
      <c r="AB24" s="255"/>
      <c r="AC24" s="255"/>
    </row>
    <row r="25" spans="2:29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4983374.8797831116</v>
      </c>
      <c r="T25" s="252"/>
      <c r="U25" s="254">
        <f t="shared" si="4"/>
        <v>1159085.1796504213</v>
      </c>
      <c r="V25" s="254">
        <f t="shared" si="5"/>
        <v>1144809.1550000007</v>
      </c>
      <c r="W25" s="252">
        <f t="shared" si="6"/>
        <v>2488000</v>
      </c>
      <c r="X25" s="252">
        <f t="shared" si="2"/>
        <v>0</v>
      </c>
      <c r="Y25" s="252">
        <f t="shared" si="1"/>
        <v>4799269.2144335341</v>
      </c>
      <c r="Z25" s="255"/>
      <c r="AA25" s="255"/>
      <c r="AB25" s="255"/>
      <c r="AC25" s="255"/>
    </row>
    <row r="26" spans="2:29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5012444.5665818462</v>
      </c>
      <c r="T26" s="252"/>
      <c r="U26" s="254">
        <f t="shared" si="4"/>
        <v>1173744.2228141748</v>
      </c>
      <c r="V26" s="254">
        <f t="shared" si="5"/>
        <v>1162965.2191666674</v>
      </c>
      <c r="W26" s="252">
        <f t="shared" si="6"/>
        <v>2488000</v>
      </c>
      <c r="X26" s="252">
        <f t="shared" si="2"/>
        <v>0</v>
      </c>
      <c r="Y26" s="252">
        <f t="shared" si="1"/>
        <v>4861154.0085626887</v>
      </c>
      <c r="Z26" s="255"/>
      <c r="AA26" s="255"/>
      <c r="AB26" s="255"/>
      <c r="AC26" s="255"/>
    </row>
    <row r="27" spans="2:29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5041683.8265535738</v>
      </c>
      <c r="T27" s="252"/>
      <c r="U27" s="254">
        <f t="shared" si="4"/>
        <v>1188525.4246709596</v>
      </c>
      <c r="V27" s="254">
        <f t="shared" si="5"/>
        <v>1181121.2833333341</v>
      </c>
      <c r="W27" s="252">
        <f t="shared" si="6"/>
        <v>2488000</v>
      </c>
      <c r="X27" s="252">
        <f t="shared" si="2"/>
        <v>0</v>
      </c>
      <c r="Y27" s="252">
        <f t="shared" si="1"/>
        <v>4923330.5345578678</v>
      </c>
      <c r="Z27" s="255"/>
      <c r="AA27" s="255"/>
      <c r="AB27" s="255"/>
      <c r="AC27" s="255"/>
    </row>
    <row r="28" spans="2:29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10753.935833333333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5071093.6488751369</v>
      </c>
      <c r="T28" s="252">
        <f>$V$4</f>
        <v>1000000</v>
      </c>
      <c r="U28" s="254">
        <f t="shared" si="4"/>
        <v>1203429.8032098843</v>
      </c>
      <c r="V28" s="254">
        <f t="shared" si="5"/>
        <v>1199277.3475000008</v>
      </c>
      <c r="W28" s="252">
        <f t="shared" si="6"/>
        <v>2488000</v>
      </c>
      <c r="X28" s="252">
        <f t="shared" si="2"/>
        <v>1000000</v>
      </c>
      <c r="Y28" s="252">
        <f t="shared" si="1"/>
        <v>5985800.799585022</v>
      </c>
      <c r="Z28" s="255"/>
      <c r="AA28" s="255"/>
      <c r="AB28" s="255"/>
      <c r="AC28" s="255"/>
    </row>
    <row r="29" spans="2:29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6100675.0284935748</v>
      </c>
      <c r="T29" s="252"/>
      <c r="U29" s="254">
        <f t="shared" si="4"/>
        <v>1218458.3849033001</v>
      </c>
      <c r="V29" s="254">
        <f t="shared" si="5"/>
        <v>1217433.4116666676</v>
      </c>
      <c r="W29" s="252">
        <f t="shared" si="6"/>
        <v>3488000</v>
      </c>
      <c r="X29" s="252">
        <f t="shared" si="2"/>
        <v>0</v>
      </c>
      <c r="Y29" s="252">
        <f t="shared" si="1"/>
        <v>5048566.8250635415</v>
      </c>
      <c r="Z29" s="255"/>
      <c r="AA29" s="255"/>
      <c r="AB29" s="255"/>
      <c r="AC29" s="255"/>
    </row>
    <row r="30" spans="2:29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6136262.299493121</v>
      </c>
      <c r="T30" s="252"/>
      <c r="U30" s="254">
        <f t="shared" si="4"/>
        <v>1233612.2047774943</v>
      </c>
      <c r="V30" s="254">
        <f t="shared" si="5"/>
        <v>1235589.4758333343</v>
      </c>
      <c r="W30" s="252">
        <f t="shared" si="6"/>
        <v>3488000</v>
      </c>
      <c r="X30" s="252">
        <f t="shared" si="2"/>
        <v>0</v>
      </c>
      <c r="Y30" s="252">
        <f t="shared" si="1"/>
        <v>5117463.9801039491</v>
      </c>
      <c r="Z30" s="255"/>
      <c r="AA30" s="255"/>
      <c r="AB30" s="255"/>
      <c r="AC30" s="255"/>
    </row>
    <row r="31" spans="2:29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6172057.1629068311</v>
      </c>
      <c r="T31" s="252"/>
      <c r="U31" s="254">
        <f t="shared" si="4"/>
        <v>1248892.3064839733</v>
      </c>
      <c r="V31" s="254">
        <f t="shared" si="5"/>
        <v>1253745.540000001</v>
      </c>
      <c r="W31" s="252">
        <f t="shared" si="6"/>
        <v>3488000</v>
      </c>
      <c r="X31" s="252">
        <f t="shared" si="2"/>
        <v>0</v>
      </c>
      <c r="Y31" s="252">
        <f t="shared" si="1"/>
        <v>5186695.0093908049</v>
      </c>
      <c r="Z31" s="255"/>
      <c r="AA31" s="255"/>
      <c r="AB31" s="255"/>
      <c r="AC31" s="255"/>
    </row>
    <row r="32" spans="2:29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6208060.8296904545</v>
      </c>
      <c r="T32" s="252"/>
      <c r="U32" s="254">
        <f t="shared" si="4"/>
        <v>1264299.7423713396</v>
      </c>
      <c r="V32" s="254">
        <f t="shared" si="5"/>
        <v>1271901.6041666677</v>
      </c>
      <c r="W32" s="252">
        <f t="shared" si="6"/>
        <v>3488000</v>
      </c>
      <c r="X32" s="252">
        <f t="shared" si="2"/>
        <v>0</v>
      </c>
      <c r="Y32" s="252">
        <f t="shared" si="1"/>
        <v>5256262.1762284618</v>
      </c>
      <c r="Z32" s="255"/>
      <c r="AA32" s="255"/>
      <c r="AB32" s="255"/>
      <c r="AC32" s="255"/>
    </row>
    <row r="33" spans="2:29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6244274.5178636489</v>
      </c>
      <c r="T33" s="252"/>
      <c r="U33" s="254">
        <f t="shared" si="4"/>
        <v>1279835.5735577673</v>
      </c>
      <c r="V33" s="254">
        <f t="shared" si="5"/>
        <v>1290057.6683333344</v>
      </c>
      <c r="W33" s="252">
        <f t="shared" si="6"/>
        <v>3488000</v>
      </c>
      <c r="X33" s="252">
        <f t="shared" si="2"/>
        <v>0</v>
      </c>
      <c r="Y33" s="252">
        <f t="shared" si="1"/>
        <v>5326167.7597547509</v>
      </c>
      <c r="Z33" s="255"/>
      <c r="AA33" s="255"/>
      <c r="AB33" s="255"/>
      <c r="AC33" s="255"/>
    </row>
    <row r="34" spans="2:29" ht="33" x14ac:dyDescent="0.35">
      <c r="B34" s="160" t="s">
        <v>46</v>
      </c>
      <c r="C34" s="22"/>
      <c r="D34" s="107"/>
      <c r="E34" s="179">
        <f>M40</f>
        <v>818000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6280699.452551187</v>
      </c>
      <c r="T34" s="252"/>
      <c r="U34" s="254">
        <f t="shared" si="4"/>
        <v>1295500.8700040821</v>
      </c>
      <c r="V34" s="254">
        <f t="shared" si="5"/>
        <v>1308213.7325000011</v>
      </c>
      <c r="W34" s="252">
        <f t="shared" si="6"/>
        <v>3488000</v>
      </c>
      <c r="X34" s="252">
        <f t="shared" si="2"/>
        <v>0</v>
      </c>
      <c r="Y34" s="252">
        <f t="shared" si="1"/>
        <v>5396414.05505527</v>
      </c>
      <c r="Z34" s="255"/>
      <c r="AA34" s="255"/>
      <c r="AB34" s="255"/>
      <c r="AC34" s="255"/>
    </row>
    <row r="35" spans="2:29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6317336.866024402</v>
      </c>
      <c r="T35" s="252"/>
      <c r="U35" s="254">
        <f t="shared" si="4"/>
        <v>1311296.7105874494</v>
      </c>
      <c r="V35" s="254">
        <f t="shared" si="5"/>
        <v>1326369.7966666678</v>
      </c>
      <c r="W35" s="252">
        <f t="shared" si="6"/>
        <v>3488000</v>
      </c>
      <c r="X35" s="252">
        <f t="shared" si="2"/>
        <v>0</v>
      </c>
      <c r="Y35" s="252">
        <f t="shared" si="1"/>
        <v>5467003.3732785191</v>
      </c>
      <c r="Z35" s="255"/>
      <c r="AA35" s="255"/>
      <c r="AB35" s="255"/>
      <c r="AC35" s="255"/>
    </row>
    <row r="36" spans="2:29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6354187.9977428773</v>
      </c>
      <c r="T36" s="252"/>
      <c r="U36" s="254">
        <f t="shared" si="4"/>
        <v>1327224.1831756781</v>
      </c>
      <c r="V36" s="254">
        <f t="shared" si="5"/>
        <v>1344525.8608333345</v>
      </c>
      <c r="W36" s="252">
        <f t="shared" si="6"/>
        <v>3488000</v>
      </c>
      <c r="X36" s="252">
        <f t="shared" si="2"/>
        <v>0</v>
      </c>
      <c r="Y36" s="252">
        <f t="shared" si="1"/>
        <v>5537938.0417518895</v>
      </c>
      <c r="Z36" s="255"/>
      <c r="AA36" s="255"/>
      <c r="AB36" s="255"/>
      <c r="AC36" s="255"/>
    </row>
    <row r="37" spans="2:29" ht="31" x14ac:dyDescent="0.3">
      <c r="B37" s="160" t="s">
        <v>51</v>
      </c>
      <c r="C37" s="22"/>
      <c r="D37" s="107"/>
      <c r="E37" s="179">
        <f>M43</f>
        <v>183000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6391254.0943963779</v>
      </c>
      <c r="T37" s="252"/>
      <c r="U37" s="254">
        <f t="shared" si="4"/>
        <v>1343284.3847021421</v>
      </c>
      <c r="V37" s="254">
        <f t="shared" si="5"/>
        <v>1362681.9250000012</v>
      </c>
      <c r="W37" s="252">
        <f t="shared" si="6"/>
        <v>3488000</v>
      </c>
      <c r="X37" s="252">
        <f t="shared" si="2"/>
        <v>0</v>
      </c>
      <c r="Y37" s="252">
        <f t="shared" si="1"/>
        <v>5609220.4040985219</v>
      </c>
      <c r="Z37" s="255"/>
      <c r="AA37" s="255"/>
      <c r="AB37" s="255"/>
      <c r="AC37" s="255"/>
    </row>
    <row r="38" spans="2:29" ht="29" customHeight="1" thickBot="1" x14ac:dyDescent="0.4">
      <c r="B38" s="160" t="s">
        <v>52</v>
      </c>
      <c r="C38" s="22"/>
      <c r="D38" s="107"/>
      <c r="E38" s="179">
        <f>M44</f>
        <v>202000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6428536.4099470237</v>
      </c>
      <c r="T38" s="252"/>
      <c r="U38" s="254">
        <f t="shared" si="4"/>
        <v>1359478.4212413265</v>
      </c>
      <c r="V38" s="254">
        <f t="shared" si="5"/>
        <v>1380837.9891666679</v>
      </c>
      <c r="W38" s="252">
        <f t="shared" si="6"/>
        <v>3488000</v>
      </c>
      <c r="X38" s="252">
        <f t="shared" si="2"/>
        <v>0</v>
      </c>
      <c r="Y38" s="252">
        <f t="shared" si="1"/>
        <v>5680852.8203550186</v>
      </c>
      <c r="Z38" s="255"/>
      <c r="AA38" s="255"/>
      <c r="AB38" s="255"/>
      <c r="AC38" s="255"/>
    </row>
    <row r="39" spans="2:29" ht="33" x14ac:dyDescent="0.35">
      <c r="B39" s="160" t="s">
        <v>54</v>
      </c>
      <c r="C39" s="22"/>
      <c r="D39" s="107"/>
      <c r="E39" s="179">
        <f>M45</f>
        <v>530000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6466036.2056717146</v>
      </c>
      <c r="T39" s="252"/>
      <c r="U39" s="254">
        <f t="shared" si="4"/>
        <v>1375807.4080850042</v>
      </c>
      <c r="V39" s="254">
        <f t="shared" si="5"/>
        <v>1398994.0533333346</v>
      </c>
      <c r="W39" s="252">
        <f t="shared" si="6"/>
        <v>3488000</v>
      </c>
      <c r="X39" s="252">
        <f t="shared" si="2"/>
        <v>0</v>
      </c>
      <c r="Y39" s="252">
        <f t="shared" ref="Y39:Y66" si="9">SUM(S39:V39)-W39</f>
        <v>5752837.6670900546</v>
      </c>
      <c r="Z39" s="255"/>
      <c r="AA39" s="255"/>
      <c r="AB39" s="255"/>
      <c r="AC39" s="255"/>
    </row>
    <row r="40" spans="2:29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818000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6503754.7502047997</v>
      </c>
      <c r="T40" s="252">
        <f>$V$4</f>
        <v>1000000</v>
      </c>
      <c r="U40" s="254">
        <f t="shared" si="4"/>
        <v>1392272.4698190459</v>
      </c>
      <c r="V40" s="254">
        <f t="shared" si="5"/>
        <v>1417150.1175000013</v>
      </c>
      <c r="W40" s="252">
        <f t="shared" si="6"/>
        <v>3488000</v>
      </c>
      <c r="X40" s="252">
        <f t="shared" si="2"/>
        <v>1000000</v>
      </c>
      <c r="Y40" s="252">
        <f t="shared" si="9"/>
        <v>6825177.3375238478</v>
      </c>
      <c r="Z40" s="255"/>
      <c r="AA40" s="255"/>
      <c r="AB40" s="255"/>
      <c r="AC40" s="255"/>
    </row>
    <row r="41" spans="2:29" ht="33" x14ac:dyDescent="0.35">
      <c r="B41" s="160" t="s">
        <v>65</v>
      </c>
      <c r="C41" s="22"/>
      <c r="D41" s="107"/>
      <c r="E41" s="179">
        <f>M47</f>
        <v>220000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7541693.3195809945</v>
      </c>
      <c r="T41" s="252"/>
      <c r="U41" s="254">
        <f t="shared" si="4"/>
        <v>1408874.7404008713</v>
      </c>
      <c r="V41" s="254">
        <f t="shared" si="5"/>
        <v>1435306.181666668</v>
      </c>
      <c r="W41" s="252">
        <f t="shared" si="6"/>
        <v>4488000</v>
      </c>
      <c r="X41" s="252">
        <f t="shared" si="2"/>
        <v>0</v>
      </c>
      <c r="Y41" s="252">
        <f t="shared" si="9"/>
        <v>5897874.2416485343</v>
      </c>
      <c r="Z41" s="255"/>
      <c r="AA41" s="255"/>
      <c r="AB41" s="255"/>
      <c r="AC41" s="255"/>
    </row>
    <row r="42" spans="2:29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7585686.5306118838</v>
      </c>
      <c r="T42" s="252"/>
      <c r="U42" s="254">
        <f t="shared" si="4"/>
        <v>1425615.3632375451</v>
      </c>
      <c r="V42" s="254">
        <f t="shared" si="5"/>
        <v>1453462.2458333347</v>
      </c>
      <c r="W42" s="252">
        <f t="shared" si="6"/>
        <v>4488000</v>
      </c>
      <c r="X42" s="252">
        <f t="shared" si="2"/>
        <v>0</v>
      </c>
      <c r="Y42" s="252">
        <f t="shared" si="9"/>
        <v>5976764.1396827642</v>
      </c>
      <c r="Z42" s="255"/>
      <c r="AA42" s="255"/>
      <c r="AB42" s="255"/>
      <c r="AC42" s="255"/>
    </row>
    <row r="43" spans="2:29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183000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7629936.3687071204</v>
      </c>
      <c r="T43" s="252"/>
      <c r="U43" s="254">
        <f t="shared" si="4"/>
        <v>1442495.4912645246</v>
      </c>
      <c r="V43" s="254">
        <f t="shared" si="5"/>
        <v>1471618.3100000015</v>
      </c>
      <c r="W43" s="252">
        <f t="shared" si="6"/>
        <v>4488000</v>
      </c>
      <c r="X43" s="252">
        <f t="shared" si="2"/>
        <v>0</v>
      </c>
      <c r="Y43" s="252">
        <f t="shared" si="9"/>
        <v>6056050.1699716449</v>
      </c>
      <c r="Z43" s="255"/>
      <c r="AA43" s="255"/>
      <c r="AB43" s="255"/>
      <c r="AC43" s="255"/>
    </row>
    <row r="44" spans="2:29" ht="33" x14ac:dyDescent="0.35">
      <c r="B44" s="160" t="s">
        <v>2</v>
      </c>
      <c r="D44" s="182">
        <f>E44-I44</f>
        <v>1086000</v>
      </c>
      <c r="E44" s="179">
        <f>M50</f>
        <v>1900000</v>
      </c>
      <c r="G44" s="97" t="s">
        <v>6</v>
      </c>
      <c r="H44" s="22"/>
      <c r="I44" s="109">
        <f>M62</f>
        <v>814000</v>
      </c>
      <c r="K44" s="205"/>
      <c r="L44" s="212" t="s">
        <v>80</v>
      </c>
      <c r="M44" s="223">
        <v>202000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7674444.3308579121</v>
      </c>
      <c r="T44" s="252"/>
      <c r="U44" s="254">
        <f t="shared" si="4"/>
        <v>1459516.2870250624</v>
      </c>
      <c r="V44" s="254">
        <f t="shared" si="5"/>
        <v>1489774.3741666682</v>
      </c>
      <c r="W44" s="252">
        <f t="shared" si="6"/>
        <v>4488000</v>
      </c>
      <c r="X44" s="252">
        <f t="shared" si="2"/>
        <v>0</v>
      </c>
      <c r="Y44" s="252">
        <f t="shared" si="9"/>
        <v>6135734.9920496419</v>
      </c>
      <c r="Z44" s="255"/>
      <c r="AA44" s="255"/>
      <c r="AB44" s="255"/>
      <c r="AC44" s="255"/>
    </row>
    <row r="45" spans="2:29" ht="33" x14ac:dyDescent="0.35">
      <c r="B45" s="160" t="str">
        <f>L51</f>
        <v>Investment 1 - Forest Lake value</v>
      </c>
      <c r="D45" s="182">
        <f>E45-I45</f>
        <v>488000</v>
      </c>
      <c r="E45" s="179">
        <f>M51</f>
        <v>1000000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530000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7719211.9227879168</v>
      </c>
      <c r="T45" s="252"/>
      <c r="U45" s="254">
        <f t="shared" si="4"/>
        <v>1476678.9227502712</v>
      </c>
      <c r="V45" s="254">
        <f t="shared" si="5"/>
        <v>1507930.4383333349</v>
      </c>
      <c r="W45" s="252">
        <f t="shared" si="6"/>
        <v>4488000</v>
      </c>
      <c r="X45" s="252">
        <f t="shared" si="2"/>
        <v>0</v>
      </c>
      <c r="Y45" s="252">
        <f t="shared" si="9"/>
        <v>6215821.2838715222</v>
      </c>
      <c r="Z45" s="255"/>
      <c r="AA45" s="255"/>
      <c r="AB45" s="255"/>
      <c r="AC45" s="255"/>
    </row>
    <row r="46" spans="2:29" ht="33" x14ac:dyDescent="0.35">
      <c r="B46" s="160" t="str">
        <f>L52</f>
        <v>Investment 2 - Strathpine value</v>
      </c>
      <c r="D46" s="182">
        <f>E46-I46</f>
        <v>490000</v>
      </c>
      <c r="E46" s="179">
        <f>M52</f>
        <v>650000</v>
      </c>
      <c r="G46" s="97" t="s">
        <v>4</v>
      </c>
      <c r="H46" s="22"/>
      <c r="I46" s="109">
        <f>M65</f>
        <v>160000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7764240.6590041798</v>
      </c>
      <c r="T46" s="252"/>
      <c r="U46" s="254">
        <f t="shared" si="4"/>
        <v>1493984.5804398567</v>
      </c>
      <c r="V46" s="254">
        <f t="shared" si="5"/>
        <v>1526086.5025000016</v>
      </c>
      <c r="W46" s="252">
        <f t="shared" si="6"/>
        <v>4488000</v>
      </c>
      <c r="X46" s="252">
        <f t="shared" si="2"/>
        <v>0</v>
      </c>
      <c r="Y46" s="252">
        <f t="shared" si="9"/>
        <v>6296311.7419440374</v>
      </c>
      <c r="Z46" s="255"/>
      <c r="AA46" s="255"/>
      <c r="AB46" s="255"/>
      <c r="AC46" s="255"/>
    </row>
    <row r="47" spans="2:29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7809532.0628483715</v>
      </c>
      <c r="T47" s="252"/>
      <c r="U47" s="254">
        <f t="shared" si="4"/>
        <v>1511434.4519435221</v>
      </c>
      <c r="V47" s="254">
        <f t="shared" si="5"/>
        <v>1544242.5666666683</v>
      </c>
      <c r="W47" s="252">
        <f t="shared" si="6"/>
        <v>4488000</v>
      </c>
      <c r="X47" s="252">
        <f t="shared" si="2"/>
        <v>0</v>
      </c>
      <c r="Y47" s="252">
        <f t="shared" si="9"/>
        <v>6377209.0814585611</v>
      </c>
      <c r="Z47" s="255"/>
      <c r="AA47" s="255"/>
      <c r="AB47" s="255"/>
      <c r="AC47" s="255"/>
    </row>
    <row r="48" spans="2:29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7855087.6665483201</v>
      </c>
      <c r="T48" s="252"/>
      <c r="U48" s="254">
        <f t="shared" si="4"/>
        <v>1529029.7390430514</v>
      </c>
      <c r="V48" s="254">
        <f t="shared" si="5"/>
        <v>1562398.630833335</v>
      </c>
      <c r="W48" s="252">
        <f t="shared" si="6"/>
        <v>4488000</v>
      </c>
      <c r="X48" s="252">
        <f t="shared" si="2"/>
        <v>0</v>
      </c>
      <c r="Y48" s="252">
        <f t="shared" si="9"/>
        <v>6458516.0364247076</v>
      </c>
      <c r="Z48" s="255"/>
      <c r="AA48" s="255"/>
      <c r="AB48" s="255"/>
      <c r="AC48" s="255"/>
    </row>
    <row r="49" spans="2:29" ht="34" thickBot="1" x14ac:dyDescent="0.4">
      <c r="B49" s="128" t="s">
        <v>156</v>
      </c>
      <c r="C49" s="108"/>
      <c r="D49" s="107"/>
      <c r="E49" s="148">
        <f>SUM(E34:E48)</f>
        <v>5703000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7900909.0112698525</v>
      </c>
      <c r="T49" s="252"/>
      <c r="U49" s="254">
        <f t="shared" si="4"/>
        <v>1546771.6535350766</v>
      </c>
      <c r="V49" s="254">
        <f t="shared" si="5"/>
        <v>1580554.6950000017</v>
      </c>
      <c r="W49" s="252">
        <f t="shared" si="6"/>
        <v>4488000</v>
      </c>
      <c r="X49" s="252">
        <f t="shared" si="2"/>
        <v>0</v>
      </c>
      <c r="Y49" s="252">
        <f t="shared" si="9"/>
        <v>6540235.359804932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5283000</v>
      </c>
      <c r="G50" s="64" t="s">
        <v>59</v>
      </c>
      <c r="H50" s="51"/>
      <c r="I50" s="52">
        <f>SUM(I35:I49)</f>
        <v>1488000</v>
      </c>
      <c r="K50" s="206"/>
      <c r="L50" s="212" t="s">
        <v>82</v>
      </c>
      <c r="M50" s="223">
        <v>1900000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7946997.6471689269</v>
      </c>
      <c r="T50" s="252"/>
      <c r="U50" s="254">
        <f t="shared" si="4"/>
        <v>1564661.4173145355</v>
      </c>
      <c r="V50" s="254">
        <f t="shared" si="5"/>
        <v>1598710.7591666684</v>
      </c>
      <c r="W50" s="252">
        <f t="shared" si="6"/>
        <v>4488000</v>
      </c>
      <c r="X50" s="252">
        <f t="shared" si="2"/>
        <v>0</v>
      </c>
      <c r="Y50" s="252">
        <f t="shared" si="9"/>
        <v>6622369.823650131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1000000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7993355.1334440792</v>
      </c>
      <c r="T51" s="252"/>
      <c r="U51" s="254">
        <f t="shared" si="4"/>
        <v>1582700.2624588232</v>
      </c>
      <c r="V51" s="254">
        <f t="shared" si="5"/>
        <v>1616866.8233333351</v>
      </c>
      <c r="W51" s="252">
        <f t="shared" si="6"/>
        <v>4488000</v>
      </c>
      <c r="X51" s="252">
        <f t="shared" si="2"/>
        <v>0</v>
      </c>
      <c r="Y51" s="252">
        <f t="shared" si="9"/>
        <v>6704922.2192362361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8039983.0383891696</v>
      </c>
      <c r="T52" s="252">
        <f>$V$4</f>
        <v>1000000</v>
      </c>
      <c r="U52" s="254">
        <f t="shared" si="4"/>
        <v>1600889.4313126467</v>
      </c>
      <c r="V52" s="254">
        <f t="shared" si="5"/>
        <v>1635022.8875000018</v>
      </c>
      <c r="W52" s="252">
        <f t="shared" si="6"/>
        <v>4488000</v>
      </c>
      <c r="X52" s="252">
        <f t="shared" si="2"/>
        <v>1000000</v>
      </c>
      <c r="Y52" s="252">
        <f t="shared" si="9"/>
        <v>7787895.3572018165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9086882.93944644</v>
      </c>
      <c r="T53" s="252"/>
      <c r="U53" s="254">
        <f t="shared" si="4"/>
        <v>1619230.1765735855</v>
      </c>
      <c r="V53" s="254">
        <f t="shared" si="5"/>
        <v>1653178.9516666685</v>
      </c>
      <c r="W53" s="252">
        <f t="shared" si="6"/>
        <v>5488000</v>
      </c>
      <c r="X53" s="252">
        <f t="shared" si="2"/>
        <v>0</v>
      </c>
      <c r="Y53" s="252">
        <f t="shared" si="9"/>
        <v>6871292.0676866937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9139889.7565932106</v>
      </c>
      <c r="T54" s="252"/>
      <c r="U54" s="254">
        <f t="shared" si="4"/>
        <v>1637723.7613783653</v>
      </c>
      <c r="V54" s="254">
        <f t="shared" si="5"/>
        <v>1671335.0158333352</v>
      </c>
      <c r="W54" s="252">
        <f t="shared" si="6"/>
        <v>5488000</v>
      </c>
      <c r="X54" s="252">
        <f t="shared" si="2"/>
        <v>0</v>
      </c>
      <c r="Y54" s="252">
        <f t="shared" si="9"/>
        <v>6960948.5338049103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9193205.7801733371</v>
      </c>
      <c r="T55" s="252"/>
      <c r="U55" s="254">
        <f t="shared" si="4"/>
        <v>1656371.4593898517</v>
      </c>
      <c r="V55" s="254">
        <f t="shared" si="5"/>
        <v>1689491.0800000019</v>
      </c>
      <c r="W55" s="252">
        <f t="shared" si="6"/>
        <v>5488000</v>
      </c>
      <c r="X55" s="252">
        <f t="shared" si="2"/>
        <v>0</v>
      </c>
      <c r="Y55" s="252">
        <f t="shared" si="9"/>
        <v>7051068.3195631914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3795000</v>
      </c>
      <c r="E56" s="200"/>
      <c r="F56" s="201"/>
      <c r="G56" s="202" t="s">
        <v>158</v>
      </c>
      <c r="H56" s="203" t="s">
        <v>114</v>
      </c>
      <c r="I56" s="204">
        <f>I17-I28</f>
        <v>18156.064166666667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9246832.8138910159</v>
      </c>
      <c r="T56" s="252"/>
      <c r="U56" s="254">
        <f t="shared" si="4"/>
        <v>1675174.5548847669</v>
      </c>
      <c r="V56" s="254">
        <f t="shared" si="5"/>
        <v>1707647.1441666686</v>
      </c>
      <c r="W56" s="252">
        <f t="shared" si="6"/>
        <v>5488000</v>
      </c>
      <c r="X56" s="252">
        <f t="shared" si="2"/>
        <v>0</v>
      </c>
      <c r="Y56" s="252">
        <f t="shared" si="9"/>
        <v>7141654.512942452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9300772.6719720475</v>
      </c>
      <c r="T57" s="252"/>
      <c r="U57" s="254">
        <f t="shared" si="4"/>
        <v>1694134.34284214</v>
      </c>
      <c r="V57" s="254">
        <f t="shared" si="5"/>
        <v>1725803.2083333354</v>
      </c>
      <c r="W57" s="252">
        <f t="shared" si="6"/>
        <v>5488000</v>
      </c>
      <c r="X57" s="252">
        <f t="shared" si="2"/>
        <v>0</v>
      </c>
      <c r="Y57" s="252">
        <f t="shared" si="9"/>
        <v>7232710.2231475227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4215000</v>
      </c>
      <c r="E58" s="130"/>
      <c r="G58" s="115" t="s">
        <v>113</v>
      </c>
      <c r="H58" s="115" t="s">
        <v>115</v>
      </c>
      <c r="I58" s="189">
        <f>I56*12</f>
        <v>217872.77000000002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9355027.1792252176</v>
      </c>
      <c r="T58" s="252"/>
      <c r="U58" s="254">
        <f t="shared" si="4"/>
        <v>1713252.129032491</v>
      </c>
      <c r="V58" s="254">
        <f t="shared" si="5"/>
        <v>1743959.2725000021</v>
      </c>
      <c r="W58" s="252">
        <f t="shared" si="6"/>
        <v>5488000</v>
      </c>
      <c r="X58" s="252">
        <f t="shared" si="2"/>
        <v>0</v>
      </c>
      <c r="Y58" s="252">
        <f t="shared" si="9"/>
        <v>7324238.5807577111</v>
      </c>
      <c r="Z58" s="255"/>
      <c r="AA58" s="255"/>
      <c r="AB58" s="255"/>
      <c r="AC58" s="255"/>
    </row>
    <row r="59" spans="2:29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9409598.1711040307</v>
      </c>
      <c r="T59" s="252"/>
      <c r="U59" s="254">
        <f t="shared" si="4"/>
        <v>1732529.2301077617</v>
      </c>
      <c r="V59" s="254">
        <f t="shared" si="5"/>
        <v>1762115.3366666688</v>
      </c>
      <c r="W59" s="252">
        <f t="shared" si="6"/>
        <v>5488000</v>
      </c>
      <c r="X59" s="252">
        <f t="shared" si="2"/>
        <v>0</v>
      </c>
      <c r="Y59" s="252">
        <f t="shared" si="9"/>
        <v>7416242.7378784604</v>
      </c>
      <c r="Z59" s="255"/>
      <c r="AA59" s="256"/>
      <c r="AB59" s="256"/>
      <c r="AC59" s="256"/>
    </row>
    <row r="60" spans="2:29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9464487.4937688038</v>
      </c>
      <c r="T60" s="252"/>
      <c r="U60" s="254">
        <f t="shared" si="4"/>
        <v>1751966.9736919929</v>
      </c>
      <c r="V60" s="254">
        <f t="shared" si="5"/>
        <v>1780271.4008333355</v>
      </c>
      <c r="W60" s="252">
        <f t="shared" si="6"/>
        <v>5488000</v>
      </c>
      <c r="X60" s="252">
        <f t="shared" si="2"/>
        <v>0</v>
      </c>
      <c r="Y60" s="252">
        <f t="shared" si="9"/>
        <v>7508725.868294131</v>
      </c>
      <c r="Z60" s="255"/>
      <c r="AA60" s="256"/>
      <c r="AB60" s="256"/>
      <c r="AC60" s="256"/>
    </row>
    <row r="61" spans="2:29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9519697.0041491222</v>
      </c>
      <c r="T61" s="252"/>
      <c r="U61" s="254">
        <f t="shared" si="4"/>
        <v>1771566.6984727595</v>
      </c>
      <c r="V61" s="254">
        <f t="shared" si="5"/>
        <v>1798427.4650000022</v>
      </c>
      <c r="W61" s="252">
        <f t="shared" si="6"/>
        <v>5488000</v>
      </c>
      <c r="X61" s="252">
        <f t="shared" si="2"/>
        <v>0</v>
      </c>
      <c r="Y61" s="252">
        <f t="shared" si="9"/>
        <v>7601691.1676218826</v>
      </c>
      <c r="Z61" s="255"/>
      <c r="AA61" s="256"/>
      <c r="AB61" s="256"/>
      <c r="AC61" s="256"/>
    </row>
    <row r="62" spans="2:29" s="17" customFormat="1" ht="45" x14ac:dyDescent="0.35">
      <c r="B62" s="234" t="s">
        <v>105</v>
      </c>
      <c r="C62" s="118"/>
      <c r="D62" s="106">
        <f>SUM(I44:I47)</f>
        <v>1486000</v>
      </c>
      <c r="E62" s="118"/>
      <c r="F62" s="22"/>
      <c r="G62" s="195" t="s">
        <v>1</v>
      </c>
      <c r="H62" s="195" t="s">
        <v>114</v>
      </c>
      <c r="I62" s="196">
        <f>H5</f>
        <v>2494</v>
      </c>
      <c r="J62" s="18"/>
      <c r="K62" s="205"/>
      <c r="L62" s="212" t="s">
        <v>85</v>
      </c>
      <c r="M62" s="223">
        <v>814000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9575228.5700066593</v>
      </c>
      <c r="T62" s="252"/>
      <c r="U62" s="254">
        <f t="shared" si="4"/>
        <v>1791329.7542933656</v>
      </c>
      <c r="V62" s="254">
        <f t="shared" si="5"/>
        <v>1816583.5291666689</v>
      </c>
      <c r="W62" s="252">
        <f t="shared" si="6"/>
        <v>5488000</v>
      </c>
      <c r="X62" s="252">
        <f t="shared" si="2"/>
        <v>0</v>
      </c>
      <c r="Y62" s="252">
        <f t="shared" si="9"/>
        <v>7695141.8534666933</v>
      </c>
      <c r="Z62" s="255"/>
      <c r="AA62" s="256"/>
      <c r="AB62" s="256"/>
      <c r="AC62" s="256"/>
    </row>
    <row r="63" spans="2:29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9631084.0699983649</v>
      </c>
      <c r="T63" s="252"/>
      <c r="U63" s="254">
        <f t="shared" si="4"/>
        <v>1811257.5022458103</v>
      </c>
      <c r="V63" s="254">
        <f t="shared" si="5"/>
        <v>1834739.5933333356</v>
      </c>
      <c r="W63" s="252">
        <f t="shared" si="6"/>
        <v>5488000</v>
      </c>
      <c r="X63" s="252">
        <f t="shared" si="2"/>
        <v>0</v>
      </c>
      <c r="Y63" s="252">
        <f t="shared" si="9"/>
        <v>7789081.1655775104</v>
      </c>
      <c r="Z63" s="255"/>
      <c r="AA63" s="256"/>
      <c r="AB63" s="256"/>
      <c r="AC63" s="256"/>
    </row>
    <row r="64" spans="2:29" s="17" customFormat="1" ht="33" x14ac:dyDescent="0.35">
      <c r="B64" s="234" t="s">
        <v>100</v>
      </c>
      <c r="C64" s="118"/>
      <c r="D64" s="106">
        <f>SUM(E44:E47)</f>
        <v>3550000</v>
      </c>
      <c r="E64" s="118"/>
      <c r="F64" s="22"/>
      <c r="G64" s="117" t="s">
        <v>126</v>
      </c>
      <c r="H64" s="117" t="s">
        <v>114</v>
      </c>
      <c r="I64" s="192">
        <f>I28-H5</f>
        <v>8259.935833333333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9687265.3937400226</v>
      </c>
      <c r="T64" s="252">
        <f>$V$4</f>
        <v>1000000</v>
      </c>
      <c r="U64" s="254">
        <f t="shared" si="4"/>
        <v>1831351.3147645253</v>
      </c>
      <c r="V64" s="254">
        <f t="shared" si="5"/>
        <v>1852895.6575000023</v>
      </c>
      <c r="W64" s="252">
        <f t="shared" si="6"/>
        <v>5488000</v>
      </c>
      <c r="X64" s="252">
        <f t="shared" si="2"/>
        <v>1000000</v>
      </c>
      <c r="Y64" s="252">
        <f t="shared" si="9"/>
        <v>8883512.3660045508</v>
      </c>
      <c r="Z64" s="255"/>
      <c r="AA64" s="256"/>
      <c r="AB64" s="256"/>
      <c r="AC64" s="256"/>
    </row>
    <row r="65" spans="2:29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160000</v>
      </c>
      <c r="N65" s="205"/>
      <c r="O65" s="18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10743774.441870173</v>
      </c>
      <c r="T65" s="252"/>
      <c r="U65" s="254">
        <f t="shared" si="4"/>
        <v>1851612.5757208962</v>
      </c>
      <c r="V65" s="254">
        <f t="shared" si="5"/>
        <v>1871051.721666669</v>
      </c>
      <c r="W65" s="252">
        <f t="shared" si="6"/>
        <v>6488000</v>
      </c>
      <c r="X65" s="252">
        <f t="shared" si="2"/>
        <v>0</v>
      </c>
      <c r="Y65" s="252">
        <f t="shared" si="9"/>
        <v>7978438.7392577399</v>
      </c>
      <c r="Z65" s="255"/>
      <c r="AA65" s="256"/>
      <c r="AB65" s="256"/>
      <c r="AC65" s="256"/>
    </row>
    <row r="66" spans="2:29" ht="33" x14ac:dyDescent="0.35">
      <c r="B66" s="234" t="s">
        <v>101</v>
      </c>
      <c r="C66" s="118"/>
      <c r="D66" s="237">
        <f>SUM(D44:D47)</f>
        <v>2064000</v>
      </c>
      <c r="E66" s="118"/>
      <c r="G66" s="117" t="s">
        <v>125</v>
      </c>
      <c r="H66" s="117"/>
      <c r="I66" s="192">
        <f>I64*12/0.08</f>
        <v>1238990.375</v>
      </c>
      <c r="K66" s="205"/>
      <c r="L66" s="212" t="s">
        <v>123</v>
      </c>
      <c r="M66" s="223"/>
      <c r="N66" s="205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10806446.459447749</v>
      </c>
      <c r="T66" s="252"/>
      <c r="U66" s="254">
        <f t="shared" si="4"/>
        <v>1872042.6805185704</v>
      </c>
      <c r="V66" s="254">
        <f t="shared" si="5"/>
        <v>1889207.7858333357</v>
      </c>
      <c r="W66" s="252">
        <f t="shared" si="6"/>
        <v>6488000</v>
      </c>
      <c r="X66" s="252">
        <f t="shared" si="2"/>
        <v>0</v>
      </c>
      <c r="Y66" s="252">
        <f t="shared" si="9"/>
        <v>8079696.9257996567</v>
      </c>
      <c r="Z66" s="255"/>
      <c r="AA66" s="255"/>
      <c r="AB66" s="255"/>
      <c r="AC66" s="255"/>
    </row>
    <row r="67" spans="2:29" ht="34" thickBot="1" x14ac:dyDescent="0.4">
      <c r="B67" s="238"/>
      <c r="C67" s="118"/>
      <c r="D67" s="237"/>
      <c r="E67" s="118"/>
      <c r="G67" s="113" t="s">
        <v>181</v>
      </c>
      <c r="H67" s="99"/>
      <c r="I67" s="262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4" t="s">
        <v>29</v>
      </c>
      <c r="C68" s="118"/>
      <c r="D68" s="239">
        <f>D62/D64</f>
        <v>0.41859154929577463</v>
      </c>
      <c r="E68" s="118"/>
      <c r="H68" s="99"/>
      <c r="I68" s="263"/>
      <c r="K68" s="205"/>
      <c r="L68" s="206"/>
      <c r="M68" s="205"/>
      <c r="N68" s="205"/>
    </row>
    <row r="69" spans="2:29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9" ht="33" x14ac:dyDescent="0.35">
      <c r="B70" s="234" t="s">
        <v>121</v>
      </c>
      <c r="C70" s="118"/>
      <c r="D70" s="237">
        <f>(80%-D68)*D64</f>
        <v>1354000.0000000002</v>
      </c>
      <c r="E70" s="118"/>
      <c r="G70" s="114"/>
      <c r="H70" s="99"/>
      <c r="I70" s="147"/>
      <c r="L70" s="119"/>
      <c r="M70" s="120"/>
    </row>
    <row r="71" spans="2:29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818000</v>
      </c>
      <c r="L71" s="247"/>
      <c r="M71" s="120"/>
    </row>
    <row r="72" spans="2:29" ht="29" customHeight="1" x14ac:dyDescent="0.35">
      <c r="B72" s="137"/>
      <c r="E72" s="99"/>
      <c r="G72" s="232" t="s">
        <v>163</v>
      </c>
      <c r="H72" s="232"/>
      <c r="I72" s="233">
        <f>SUM(E37:E39)</f>
        <v>915000</v>
      </c>
      <c r="L72" s="246"/>
      <c r="M72" s="248"/>
    </row>
    <row r="73" spans="2:29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1733000</v>
      </c>
      <c r="L73" s="246"/>
      <c r="M73" s="119"/>
    </row>
    <row r="74" spans="2:29" ht="29" customHeight="1" x14ac:dyDescent="0.35">
      <c r="B74" s="125"/>
      <c r="E74" s="99"/>
      <c r="H74" s="99"/>
      <c r="I74" s="147"/>
      <c r="L74" s="246"/>
      <c r="M74" s="119"/>
      <c r="N74" s="119"/>
    </row>
    <row r="75" spans="2:29" ht="29" customHeight="1" x14ac:dyDescent="0.35">
      <c r="B75" s="138" t="s">
        <v>128</v>
      </c>
      <c r="C75" s="131"/>
      <c r="D75" s="102">
        <f>D78-D62</f>
        <v>988371.86435377225</v>
      </c>
      <c r="E75" s="131"/>
      <c r="G75" s="114" t="s">
        <v>127</v>
      </c>
      <c r="H75" s="99"/>
      <c r="I75" s="147"/>
      <c r="L75" s="119"/>
      <c r="M75" s="119"/>
      <c r="N75" s="119"/>
    </row>
    <row r="76" spans="2:29" ht="29" customHeight="1" x14ac:dyDescent="0.35">
      <c r="B76" s="137" t="s">
        <v>112</v>
      </c>
      <c r="E76" s="99"/>
      <c r="G76" s="22"/>
      <c r="H76" s="99"/>
      <c r="I76" s="147"/>
      <c r="L76" s="247"/>
      <c r="M76" s="120"/>
      <c r="N76" s="119"/>
    </row>
    <row r="77" spans="2:29" ht="29" customHeight="1" x14ac:dyDescent="0.35">
      <c r="B77" s="137"/>
      <c r="E77" s="113"/>
      <c r="G77" s="601" t="s">
        <v>165</v>
      </c>
      <c r="H77" s="602"/>
      <c r="I77" s="194">
        <f>SUM(E34:E39)/(I28-H5)</f>
        <v>209.80792526334196</v>
      </c>
      <c r="L77" s="246"/>
      <c r="M77" s="248"/>
      <c r="N77" s="119"/>
    </row>
    <row r="78" spans="2:29" ht="29" customHeight="1" x14ac:dyDescent="0.35">
      <c r="B78" s="138" t="s">
        <v>117</v>
      </c>
      <c r="C78" s="131"/>
      <c r="D78" s="102">
        <f>PV(8%/12,30*12,H22,0)*-1</f>
        <v>2474371.8643537723</v>
      </c>
      <c r="E78" s="131"/>
      <c r="G78" s="601" t="s">
        <v>166</v>
      </c>
      <c r="H78" s="602"/>
      <c r="I78" s="194">
        <f>SUM(E34:E39)/(I28-H5)/12</f>
        <v>17.483993771945162</v>
      </c>
      <c r="L78" s="246"/>
      <c r="M78" s="119"/>
    </row>
    <row r="79" spans="2:29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2.1980877978975424</v>
      </c>
      <c r="L79" s="246"/>
      <c r="M79" s="119"/>
    </row>
    <row r="80" spans="2:29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1C44-9D82-FD47-B598-E71EC4EFE424}">
  <dimension ref="B1:AI126"/>
  <sheetViews>
    <sheetView showGridLines="0" zoomScale="30" zoomScaleNormal="30" workbookViewId="0">
      <selection activeCell="M51" sqref="M51"/>
    </sheetView>
  </sheetViews>
  <sheetFormatPr baseColWidth="10" defaultColWidth="11" defaultRowHeight="33" x14ac:dyDescent="0.35"/>
  <cols>
    <col min="1" max="1" width="11" style="119" customWidth="1"/>
    <col min="2" max="2" width="154.33203125" style="119" bestFit="1" customWidth="1"/>
    <col min="3" max="3" width="41.83203125" style="119" bestFit="1" customWidth="1"/>
    <col min="4" max="4" width="39" style="119" bestFit="1" customWidth="1"/>
    <col min="5" max="5" width="45.1640625" style="120" bestFit="1" customWidth="1"/>
    <col min="6" max="6" width="8.33203125" style="119" customWidth="1"/>
    <col min="7" max="7" width="219.83203125" style="119" bestFit="1" customWidth="1"/>
    <col min="8" max="8" width="39" style="119" bestFit="1" customWidth="1"/>
    <col min="9" max="9" width="40.6640625" style="120" bestFit="1" customWidth="1"/>
    <col min="10" max="11" width="15.83203125" style="119" customWidth="1"/>
    <col min="12" max="12" width="110.6640625" style="120" bestFit="1" customWidth="1"/>
    <col min="13" max="13" width="28.5" style="119" bestFit="1" customWidth="1"/>
    <col min="14" max="14" width="14.1640625" style="119" customWidth="1"/>
    <col min="15" max="15" width="25.1640625" style="119" customWidth="1"/>
    <col min="16" max="16" width="11.83203125" style="119" bestFit="1" customWidth="1"/>
    <col min="17" max="17" width="25.6640625" style="119" bestFit="1" customWidth="1"/>
    <col min="18" max="18" width="36.5" style="119" bestFit="1" customWidth="1"/>
    <col min="19" max="19" width="31" style="119" bestFit="1" customWidth="1"/>
    <col min="20" max="20" width="28.5" style="119" bestFit="1" customWidth="1"/>
    <col min="21" max="21" width="67" style="119" bestFit="1" customWidth="1"/>
    <col min="22" max="22" width="28.5" style="119" bestFit="1" customWidth="1"/>
    <col min="23" max="23" width="31" style="119" bestFit="1" customWidth="1"/>
    <col min="24" max="24" width="28.5" style="119" bestFit="1" customWidth="1"/>
    <col min="25" max="25" width="34.83203125" style="119" bestFit="1" customWidth="1"/>
    <col min="26" max="34" width="11" style="119"/>
    <col min="35" max="35" width="57.83203125" style="119" bestFit="1" customWidth="1"/>
    <col min="36" max="16384" width="11" style="119"/>
  </cols>
  <sheetData>
    <row r="1" spans="2:35" ht="34" thickBot="1" x14ac:dyDescent="0.4">
      <c r="K1" s="215"/>
      <c r="L1" s="496"/>
      <c r="M1" s="215"/>
      <c r="N1" s="215"/>
      <c r="Q1" s="517"/>
      <c r="R1" s="359"/>
      <c r="S1" s="518"/>
      <c r="T1" s="518"/>
      <c r="U1" s="519" t="s">
        <v>180</v>
      </c>
      <c r="V1" s="520">
        <v>7.0000000000000007E-2</v>
      </c>
      <c r="W1" s="518"/>
      <c r="X1" s="518"/>
    </row>
    <row r="2" spans="2:35" ht="48" thickBot="1" x14ac:dyDescent="0.6">
      <c r="B2" s="617" t="s">
        <v>39</v>
      </c>
      <c r="C2" s="618"/>
      <c r="D2" s="618"/>
      <c r="E2" s="618"/>
      <c r="F2" s="618"/>
      <c r="G2" s="618"/>
      <c r="H2" s="618"/>
      <c r="I2" s="619"/>
      <c r="J2" s="525"/>
      <c r="K2" s="497"/>
      <c r="L2" s="620" t="s">
        <v>164</v>
      </c>
      <c r="M2" s="621"/>
      <c r="N2" s="215"/>
      <c r="Q2" s="517"/>
      <c r="R2" s="359"/>
      <c r="S2" s="518"/>
      <c r="T2" s="518"/>
      <c r="U2" s="519" t="s">
        <v>179</v>
      </c>
      <c r="V2" s="520">
        <v>0.1</v>
      </c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J3" s="366"/>
      <c r="K3" s="215"/>
      <c r="L3" s="209"/>
      <c r="M3" s="209"/>
      <c r="N3" s="498"/>
      <c r="Q3" s="517"/>
      <c r="R3" s="359"/>
      <c r="S3" s="518"/>
      <c r="T3" s="518"/>
      <c r="U3" s="519" t="s">
        <v>175</v>
      </c>
      <c r="V3" s="521">
        <v>10000</v>
      </c>
      <c r="W3" s="518"/>
      <c r="X3" s="518"/>
      <c r="AI3" s="294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38</v>
      </c>
      <c r="F4" s="370"/>
      <c r="G4" s="371" t="s">
        <v>64</v>
      </c>
      <c r="H4" s="368" t="s">
        <v>37</v>
      </c>
      <c r="I4" s="368" t="s">
        <v>55</v>
      </c>
      <c r="J4" s="366"/>
      <c r="K4" s="215"/>
      <c r="L4" s="241" t="s">
        <v>0</v>
      </c>
      <c r="M4" s="242"/>
      <c r="N4" s="498"/>
      <c r="Q4" s="517"/>
      <c r="R4" s="359"/>
      <c r="S4" s="518"/>
      <c r="T4" s="518"/>
      <c r="U4" s="522" t="s">
        <v>184</v>
      </c>
      <c r="V4" s="518">
        <v>3000000</v>
      </c>
      <c r="W4" s="518"/>
      <c r="X4" s="518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SUM(E8:E16)</f>
        <v>1996.0166666666669</v>
      </c>
      <c r="I5" s="377">
        <f>H5*12</f>
        <v>23952.200000000004</v>
      </c>
      <c r="J5" s="366"/>
      <c r="K5" s="215"/>
      <c r="L5" s="212"/>
      <c r="M5" s="213"/>
      <c r="N5" s="498"/>
      <c r="Q5" s="517"/>
      <c r="R5" s="359"/>
      <c r="S5" s="518"/>
      <c r="T5" s="518"/>
      <c r="U5" s="518"/>
      <c r="V5" s="518"/>
      <c r="W5" s="518"/>
      <c r="X5" s="518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J6" s="366"/>
      <c r="K6" s="215"/>
      <c r="L6" s="212" t="s">
        <v>70</v>
      </c>
      <c r="M6" s="223">
        <v>23000</v>
      </c>
      <c r="N6" s="498"/>
      <c r="P6" s="523" t="s">
        <v>172</v>
      </c>
      <c r="Q6" s="523" t="s">
        <v>172</v>
      </c>
      <c r="R6" s="362" t="s">
        <v>171</v>
      </c>
      <c r="S6" s="362" t="s">
        <v>173</v>
      </c>
      <c r="T6" s="362" t="s">
        <v>182</v>
      </c>
      <c r="U6" s="362" t="s">
        <v>124</v>
      </c>
      <c r="V6" s="362" t="s">
        <v>178</v>
      </c>
      <c r="W6" s="362" t="s">
        <v>174</v>
      </c>
      <c r="X6" s="362" t="s">
        <v>183</v>
      </c>
      <c r="Y6" s="362" t="s">
        <v>177</v>
      </c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J7" s="366"/>
      <c r="K7" s="215"/>
      <c r="L7" s="212" t="s">
        <v>71</v>
      </c>
      <c r="M7" s="213"/>
      <c r="N7" s="498"/>
      <c r="P7" s="359">
        <v>1</v>
      </c>
      <c r="Q7" s="517">
        <f ca="1">TODAY()</f>
        <v>46091</v>
      </c>
      <c r="R7" s="517" t="str">
        <f t="shared" ref="R7:R66" ca="1" si="0">TEXT($Q7,"MMMM")&amp;TEXT($Q7," YYYY")</f>
        <v>March 2026</v>
      </c>
      <c r="S7" s="518">
        <f>SUM(E44:E47)</f>
        <v>4175000</v>
      </c>
      <c r="T7" s="518"/>
      <c r="U7" s="518">
        <f>SUM(E37:E39)</f>
        <v>924000</v>
      </c>
      <c r="V7" s="518">
        <f>$E$34</f>
        <v>106000</v>
      </c>
      <c r="W7" s="518">
        <f>$I$50</f>
        <v>1524000</v>
      </c>
      <c r="X7" s="518">
        <f>T7</f>
        <v>0</v>
      </c>
      <c r="Y7" s="518">
        <f t="shared" ref="Y7:Y66" si="1">SUM(S7:V7)-W7</f>
        <v>3681000</v>
      </c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J8" s="366"/>
      <c r="K8" s="215"/>
      <c r="L8" s="212" t="s">
        <v>72</v>
      </c>
      <c r="M8" s="223">
        <v>10</v>
      </c>
      <c r="N8" s="498"/>
      <c r="P8" s="359">
        <v>2</v>
      </c>
      <c r="Q8" s="517">
        <f ca="1">Q7+30</f>
        <v>46121</v>
      </c>
      <c r="R8" s="517" t="str">
        <f t="shared" ca="1" si="0"/>
        <v>April 2026</v>
      </c>
      <c r="S8" s="518">
        <f>($V$1/12+1)*S7+T7</f>
        <v>4199354.166666667</v>
      </c>
      <c r="T8" s="518"/>
      <c r="U8" s="524">
        <f>($V$2/12+1)*U7+$V$3</f>
        <v>941700</v>
      </c>
      <c r="V8" s="524">
        <f>V7+$I$56</f>
        <v>123658.08083333334</v>
      </c>
      <c r="W8" s="518">
        <f>W7+X7</f>
        <v>1524000</v>
      </c>
      <c r="X8" s="518">
        <f t="shared" ref="X8:X66" si="2">T8</f>
        <v>0</v>
      </c>
      <c r="Y8" s="518">
        <f t="shared" si="1"/>
        <v>3740712.2475000005</v>
      </c>
    </row>
    <row r="9" spans="2:35" ht="45" x14ac:dyDescent="0.45">
      <c r="B9" s="365" t="s">
        <v>43</v>
      </c>
      <c r="C9" s="381"/>
      <c r="D9" s="378">
        <f>M9</f>
        <v>830</v>
      </c>
      <c r="E9" s="385">
        <f>D9</f>
        <v>830</v>
      </c>
      <c r="F9" s="370"/>
      <c r="G9" s="365"/>
      <c r="H9" s="201"/>
      <c r="I9" s="384"/>
      <c r="J9" s="366"/>
      <c r="K9" s="215"/>
      <c r="L9" s="212" t="s">
        <v>73</v>
      </c>
      <c r="M9" s="223">
        <v>830</v>
      </c>
      <c r="N9" s="498"/>
      <c r="P9" s="359">
        <v>3</v>
      </c>
      <c r="Q9" s="517">
        <f ca="1">Q8+30</f>
        <v>46151</v>
      </c>
      <c r="R9" s="517" t="str">
        <f t="shared" ca="1" si="0"/>
        <v>May 2026</v>
      </c>
      <c r="S9" s="518">
        <f t="shared" ref="S9:S66" si="3">($V$1/12+1)*S8+T8</f>
        <v>4223850.399305556</v>
      </c>
      <c r="T9" s="518"/>
      <c r="U9" s="524">
        <f t="shared" ref="U9:U66" si="4">($V$2/12+1)*U8+$V$3</f>
        <v>959547.5</v>
      </c>
      <c r="V9" s="524">
        <f t="shared" ref="V9:V66" si="5">V8+$I$56</f>
        <v>141316.16166666668</v>
      </c>
      <c r="W9" s="518">
        <f t="shared" ref="W9:W66" si="6">W8+X8</f>
        <v>1524000</v>
      </c>
      <c r="X9" s="518">
        <f t="shared" si="2"/>
        <v>0</v>
      </c>
      <c r="Y9" s="518">
        <f t="shared" si="1"/>
        <v>3800714.0609722231</v>
      </c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J10" s="366"/>
      <c r="K10" s="215"/>
      <c r="L10" s="212" t="s">
        <v>74</v>
      </c>
      <c r="M10" s="223">
        <v>0</v>
      </c>
      <c r="N10" s="498"/>
      <c r="P10" s="359">
        <v>4</v>
      </c>
      <c r="Q10" s="517">
        <f t="shared" ref="Q10:Q65" ca="1" si="7">Q9+30</f>
        <v>46181</v>
      </c>
      <c r="R10" s="517" t="str">
        <f t="shared" ca="1" si="0"/>
        <v>June 2026</v>
      </c>
      <c r="S10" s="518">
        <f t="shared" si="3"/>
        <v>4248489.5266348384</v>
      </c>
      <c r="T10" s="518"/>
      <c r="U10" s="524">
        <f t="shared" si="4"/>
        <v>977543.72916666663</v>
      </c>
      <c r="V10" s="524">
        <f t="shared" si="5"/>
        <v>158974.24250000002</v>
      </c>
      <c r="W10" s="518">
        <f t="shared" si="6"/>
        <v>1524000</v>
      </c>
      <c r="X10" s="518">
        <f t="shared" si="2"/>
        <v>0</v>
      </c>
      <c r="Y10" s="518">
        <f t="shared" si="1"/>
        <v>3861007.4983015051</v>
      </c>
    </row>
    <row r="11" spans="2:35" ht="45" x14ac:dyDescent="0.45">
      <c r="B11" s="365"/>
      <c r="C11" s="366"/>
      <c r="D11" s="201"/>
      <c r="E11" s="374"/>
      <c r="F11" s="372"/>
      <c r="G11" s="365"/>
      <c r="H11" s="201"/>
      <c r="I11" s="386"/>
      <c r="J11" s="366"/>
      <c r="K11" s="215"/>
      <c r="L11" s="212"/>
      <c r="M11" s="213"/>
      <c r="N11" s="498"/>
      <c r="P11" s="359">
        <v>5</v>
      </c>
      <c r="Q11" s="517">
        <f t="shared" ca="1" si="7"/>
        <v>46211</v>
      </c>
      <c r="R11" s="517" t="str">
        <f t="shared" ca="1" si="0"/>
        <v>July 2026</v>
      </c>
      <c r="S11" s="518">
        <f t="shared" si="3"/>
        <v>4273272.3822068749</v>
      </c>
      <c r="T11" s="518"/>
      <c r="U11" s="524">
        <f t="shared" si="4"/>
        <v>995689.92690972215</v>
      </c>
      <c r="V11" s="524">
        <f t="shared" si="5"/>
        <v>176632.32333333336</v>
      </c>
      <c r="W11" s="518">
        <f t="shared" si="6"/>
        <v>1524000</v>
      </c>
      <c r="X11" s="518">
        <f t="shared" si="2"/>
        <v>0</v>
      </c>
      <c r="Y11" s="518">
        <f t="shared" si="1"/>
        <v>3921594.6324499305</v>
      </c>
    </row>
    <row r="12" spans="2:35" ht="45" x14ac:dyDescent="0.45">
      <c r="B12" s="387" t="s">
        <v>53</v>
      </c>
      <c r="C12" s="372"/>
      <c r="D12" s="373"/>
      <c r="E12" s="374"/>
      <c r="F12" s="372"/>
      <c r="G12" s="388" t="s">
        <v>129</v>
      </c>
      <c r="H12" s="389" t="s">
        <v>157</v>
      </c>
      <c r="I12" s="384"/>
      <c r="J12" s="366"/>
      <c r="K12" s="215"/>
      <c r="L12" s="212"/>
      <c r="M12" s="213"/>
      <c r="N12" s="498"/>
      <c r="P12" s="359">
        <v>6</v>
      </c>
      <c r="Q12" s="517">
        <f t="shared" ca="1" si="7"/>
        <v>46241</v>
      </c>
      <c r="R12" s="517" t="str">
        <f t="shared" ca="1" si="0"/>
        <v>August 2026</v>
      </c>
      <c r="S12" s="518">
        <f t="shared" si="3"/>
        <v>4298199.8044364154</v>
      </c>
      <c r="T12" s="518"/>
      <c r="U12" s="524">
        <f t="shared" si="4"/>
        <v>1013987.3429673031</v>
      </c>
      <c r="V12" s="524">
        <f t="shared" si="5"/>
        <v>194290.4041666667</v>
      </c>
      <c r="W12" s="518">
        <f t="shared" si="6"/>
        <v>1524000</v>
      </c>
      <c r="X12" s="518">
        <f t="shared" si="2"/>
        <v>0</v>
      </c>
      <c r="Y12" s="518">
        <f t="shared" si="1"/>
        <v>3982477.5515703857</v>
      </c>
    </row>
    <row r="13" spans="2:35" ht="45" x14ac:dyDescent="0.45">
      <c r="B13" s="365"/>
      <c r="C13" s="372"/>
      <c r="D13" s="373"/>
      <c r="E13" s="374"/>
      <c r="F13" s="372"/>
      <c r="G13" s="365" t="s">
        <v>68</v>
      </c>
      <c r="H13" s="390">
        <f>C14/E45</f>
        <v>3.3936842105263161E-2</v>
      </c>
      <c r="I13" s="384"/>
      <c r="J13" s="366"/>
      <c r="K13" s="215"/>
      <c r="L13" s="212"/>
      <c r="M13" s="213"/>
      <c r="N13" s="498"/>
      <c r="P13" s="359">
        <v>7</v>
      </c>
      <c r="Q13" s="517">
        <f t="shared" ca="1" si="7"/>
        <v>46271</v>
      </c>
      <c r="R13" s="517" t="str">
        <f t="shared" ca="1" si="0"/>
        <v>September 2026</v>
      </c>
      <c r="S13" s="518">
        <f t="shared" si="3"/>
        <v>4323272.6366289612</v>
      </c>
      <c r="T13" s="518"/>
      <c r="U13" s="524">
        <f t="shared" si="4"/>
        <v>1032437.2374920306</v>
      </c>
      <c r="V13" s="524">
        <f t="shared" si="5"/>
        <v>211948.48500000004</v>
      </c>
      <c r="W13" s="518">
        <f t="shared" si="6"/>
        <v>1524000</v>
      </c>
      <c r="X13" s="518">
        <f t="shared" si="2"/>
        <v>0</v>
      </c>
      <c r="Y13" s="518">
        <f t="shared" si="1"/>
        <v>4043658.359120992</v>
      </c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D14-D21</f>
        <v>130.93333333333339</v>
      </c>
      <c r="F14" s="391"/>
      <c r="G14" s="365" t="s">
        <v>69</v>
      </c>
      <c r="H14" s="390">
        <f>C15/E46</f>
        <v>6.0666666666666667E-2</v>
      </c>
      <c r="I14" s="384"/>
      <c r="J14" s="366"/>
      <c r="K14" s="215"/>
      <c r="L14" s="212" t="s">
        <v>220</v>
      </c>
      <c r="M14" s="223">
        <v>620</v>
      </c>
      <c r="N14" s="498"/>
      <c r="P14" s="359">
        <v>8</v>
      </c>
      <c r="Q14" s="517">
        <f t="shared" ca="1" si="7"/>
        <v>46301</v>
      </c>
      <c r="R14" s="517" t="str">
        <f t="shared" ca="1" si="0"/>
        <v>October 2026</v>
      </c>
      <c r="S14" s="518">
        <f t="shared" si="3"/>
        <v>4348491.7270092973</v>
      </c>
      <c r="T14" s="518"/>
      <c r="U14" s="524">
        <f t="shared" si="4"/>
        <v>1051040.8811377976</v>
      </c>
      <c r="V14" s="524">
        <f t="shared" si="5"/>
        <v>229606.56583333338</v>
      </c>
      <c r="W14" s="518">
        <f t="shared" si="6"/>
        <v>1524000</v>
      </c>
      <c r="X14" s="518">
        <f t="shared" si="2"/>
        <v>0</v>
      </c>
      <c r="Y14" s="518">
        <f t="shared" si="1"/>
        <v>4105139.1739804279</v>
      </c>
    </row>
    <row r="15" spans="2:35" ht="45" x14ac:dyDescent="0.45">
      <c r="B15" s="365" t="str">
        <f>L15</f>
        <v>Rental income Strathpine (per week)</v>
      </c>
      <c r="C15" s="391">
        <f>D15*12</f>
        <v>36400</v>
      </c>
      <c r="D15" s="378">
        <f>M15*52/12</f>
        <v>3033.3333333333335</v>
      </c>
      <c r="E15" s="392">
        <f>D15-D22</f>
        <v>1885.2500000000002</v>
      </c>
      <c r="F15" s="391"/>
      <c r="G15" s="365" t="s">
        <v>217</v>
      </c>
      <c r="H15" s="390">
        <f>C16/E47</f>
        <v>5.0206896551724139E-2</v>
      </c>
      <c r="I15" s="384"/>
      <c r="J15" s="366"/>
      <c r="K15" s="215"/>
      <c r="L15" s="212" t="s">
        <v>221</v>
      </c>
      <c r="M15" s="223">
        <v>700</v>
      </c>
      <c r="N15" s="498"/>
      <c r="P15" s="359">
        <v>9</v>
      </c>
      <c r="Q15" s="517">
        <f t="shared" ca="1" si="7"/>
        <v>46331</v>
      </c>
      <c r="R15" s="517" t="str">
        <f t="shared" ca="1" si="0"/>
        <v>November 2026</v>
      </c>
      <c r="S15" s="518">
        <f t="shared" si="3"/>
        <v>4373857.9287501853</v>
      </c>
      <c r="T15" s="518"/>
      <c r="U15" s="524">
        <f t="shared" si="4"/>
        <v>1069799.5551472793</v>
      </c>
      <c r="V15" s="524">
        <f t="shared" si="5"/>
        <v>247264.64666666673</v>
      </c>
      <c r="W15" s="518">
        <f t="shared" si="6"/>
        <v>1524000</v>
      </c>
      <c r="X15" s="518">
        <f t="shared" si="2"/>
        <v>0</v>
      </c>
      <c r="Y15" s="518">
        <f t="shared" si="1"/>
        <v>4166922.1305641308</v>
      </c>
    </row>
    <row r="16" spans="2:35" ht="46" thickBot="1" x14ac:dyDescent="0.5">
      <c r="B16" s="365" t="str">
        <f>L16</f>
        <v>Rental income Mt Sheridan (per week)</v>
      </c>
      <c r="C16" s="391">
        <f>D16*12</f>
        <v>36400</v>
      </c>
      <c r="D16" s="378">
        <f>M16*52/12</f>
        <v>3033.3333333333335</v>
      </c>
      <c r="E16" s="392">
        <f>D16-D23</f>
        <v>-860.16666666666652</v>
      </c>
      <c r="F16" s="391"/>
      <c r="G16" s="365"/>
      <c r="H16" s="201"/>
      <c r="I16" s="384"/>
      <c r="J16" s="366"/>
      <c r="K16" s="215"/>
      <c r="L16" s="214" t="s">
        <v>222</v>
      </c>
      <c r="M16" s="224">
        <v>700</v>
      </c>
      <c r="N16" s="498"/>
      <c r="P16" s="359">
        <v>10</v>
      </c>
      <c r="Q16" s="517">
        <f t="shared" ca="1" si="7"/>
        <v>46361</v>
      </c>
      <c r="R16" s="517" t="str">
        <f t="shared" ca="1" si="0"/>
        <v>December 2026</v>
      </c>
      <c r="S16" s="518">
        <f t="shared" si="3"/>
        <v>4399372.100001228</v>
      </c>
      <c r="T16" s="518"/>
      <c r="U16" s="524">
        <f t="shared" si="4"/>
        <v>1088714.5514401733</v>
      </c>
      <c r="V16" s="524">
        <f t="shared" si="5"/>
        <v>264922.72750000004</v>
      </c>
      <c r="W16" s="518">
        <f t="shared" si="6"/>
        <v>1524000</v>
      </c>
      <c r="X16" s="518">
        <f t="shared" si="2"/>
        <v>0</v>
      </c>
      <c r="Y16" s="518">
        <f t="shared" si="1"/>
        <v>4229009.3789414009</v>
      </c>
    </row>
    <row r="17" spans="2:25" ht="46" thickBot="1" x14ac:dyDescent="0.5">
      <c r="B17" s="393"/>
      <c r="C17" s="394"/>
      <c r="D17" s="395"/>
      <c r="E17" s="396"/>
      <c r="F17" s="391"/>
      <c r="G17" s="397" t="s">
        <v>56</v>
      </c>
      <c r="H17" s="398" t="s">
        <v>57</v>
      </c>
      <c r="I17" s="399">
        <f>SUM(D6:D16)</f>
        <v>32593.333333333332</v>
      </c>
      <c r="J17" s="366"/>
      <c r="K17" s="215"/>
      <c r="L17" s="215"/>
      <c r="M17" s="216"/>
      <c r="N17" s="498"/>
      <c r="P17" s="359">
        <v>11</v>
      </c>
      <c r="Q17" s="517">
        <f t="shared" ca="1" si="7"/>
        <v>46391</v>
      </c>
      <c r="R17" s="517" t="str">
        <f t="shared" ca="1" si="0"/>
        <v>January 2027</v>
      </c>
      <c r="S17" s="518">
        <f t="shared" si="3"/>
        <v>4425035.1039179023</v>
      </c>
      <c r="T17" s="518">
        <f>$V$4</f>
        <v>3000000</v>
      </c>
      <c r="U17" s="524">
        <f t="shared" si="4"/>
        <v>1107787.1727021746</v>
      </c>
      <c r="V17" s="524">
        <f t="shared" si="5"/>
        <v>282580.80833333335</v>
      </c>
      <c r="W17" s="518">
        <f t="shared" si="6"/>
        <v>1524000</v>
      </c>
      <c r="X17" s="518">
        <f t="shared" si="2"/>
        <v>3000000</v>
      </c>
      <c r="Y17" s="518">
        <f t="shared" si="1"/>
        <v>7291403.0849534106</v>
      </c>
    </row>
    <row r="18" spans="2:25" ht="45" x14ac:dyDescent="0.45">
      <c r="B18" s="400" t="s">
        <v>5</v>
      </c>
      <c r="C18" s="401" t="s">
        <v>55</v>
      </c>
      <c r="D18" s="401" t="s">
        <v>37</v>
      </c>
      <c r="E18" s="401"/>
      <c r="F18" s="402"/>
      <c r="G18" s="403"/>
      <c r="H18" s="404"/>
      <c r="I18" s="405"/>
      <c r="J18" s="366"/>
      <c r="K18" s="215"/>
      <c r="L18" s="241" t="s">
        <v>5</v>
      </c>
      <c r="M18" s="243"/>
      <c r="N18" s="498"/>
      <c r="P18" s="359">
        <v>12</v>
      </c>
      <c r="Q18" s="517">
        <f t="shared" ca="1" si="7"/>
        <v>46421</v>
      </c>
      <c r="R18" s="517" t="str">
        <f t="shared" ca="1" si="0"/>
        <v>February 2027</v>
      </c>
      <c r="S18" s="518">
        <f t="shared" si="3"/>
        <v>7450847.8086907566</v>
      </c>
      <c r="T18" s="518"/>
      <c r="U18" s="524">
        <f t="shared" si="4"/>
        <v>1127018.7324746926</v>
      </c>
      <c r="V18" s="524">
        <f t="shared" si="5"/>
        <v>300238.88916666666</v>
      </c>
      <c r="W18" s="518">
        <f t="shared" si="6"/>
        <v>4524000</v>
      </c>
      <c r="X18" s="518">
        <f t="shared" si="2"/>
        <v>0</v>
      </c>
      <c r="Y18" s="518">
        <f t="shared" si="1"/>
        <v>4354105.4303321149</v>
      </c>
    </row>
    <row r="19" spans="2:25" ht="45" x14ac:dyDescent="0.45">
      <c r="B19" s="365"/>
      <c r="C19" s="366"/>
      <c r="D19" s="201"/>
      <c r="E19" s="384"/>
      <c r="F19" s="366"/>
      <c r="G19" s="406"/>
      <c r="H19" s="201"/>
      <c r="I19" s="407"/>
      <c r="J19" s="366"/>
      <c r="K19" s="215"/>
      <c r="L19" s="212"/>
      <c r="M19" s="213"/>
      <c r="N19" s="498"/>
      <c r="P19" s="359">
        <v>13</v>
      </c>
      <c r="Q19" s="517">
        <f t="shared" ca="1" si="7"/>
        <v>46451</v>
      </c>
      <c r="R19" s="517" t="str">
        <f t="shared" ca="1" si="0"/>
        <v>March 2027</v>
      </c>
      <c r="S19" s="518">
        <f t="shared" si="3"/>
        <v>7494311.0875747865</v>
      </c>
      <c r="T19" s="518"/>
      <c r="U19" s="524">
        <f t="shared" si="4"/>
        <v>1146410.555245315</v>
      </c>
      <c r="V19" s="524">
        <f t="shared" si="5"/>
        <v>317896.96999999997</v>
      </c>
      <c r="W19" s="518">
        <f t="shared" si="6"/>
        <v>4524000</v>
      </c>
      <c r="X19" s="518">
        <f t="shared" si="2"/>
        <v>0</v>
      </c>
      <c r="Y19" s="518">
        <f t="shared" si="1"/>
        <v>4434618.6128201019</v>
      </c>
    </row>
    <row r="20" spans="2:25" ht="45" x14ac:dyDescent="0.45">
      <c r="B20" s="365" t="s">
        <v>36</v>
      </c>
      <c r="C20" s="408">
        <f t="shared" ref="C20:C23" si="8">D20*12</f>
        <v>0</v>
      </c>
      <c r="D20" s="409">
        <f>M20</f>
        <v>0</v>
      </c>
      <c r="E20" s="410"/>
      <c r="F20" s="402"/>
      <c r="G20" s="406"/>
      <c r="H20" s="201"/>
      <c r="I20" s="407"/>
      <c r="J20" s="366"/>
      <c r="K20" s="215"/>
      <c r="L20" s="212" t="s">
        <v>118</v>
      </c>
      <c r="M20" s="223">
        <v>0</v>
      </c>
      <c r="N20" s="498"/>
      <c r="P20" s="359">
        <v>14</v>
      </c>
      <c r="Q20" s="517">
        <f t="shared" ca="1" si="7"/>
        <v>46481</v>
      </c>
      <c r="R20" s="517" t="str">
        <f t="shared" ca="1" si="0"/>
        <v>April 2027</v>
      </c>
      <c r="S20" s="518">
        <f t="shared" si="3"/>
        <v>7538027.9022523062</v>
      </c>
      <c r="T20" s="518"/>
      <c r="U20" s="524">
        <f t="shared" si="4"/>
        <v>1165963.9765390258</v>
      </c>
      <c r="V20" s="524">
        <f t="shared" si="5"/>
        <v>335555.05083333328</v>
      </c>
      <c r="W20" s="518">
        <f t="shared" si="6"/>
        <v>4524000</v>
      </c>
      <c r="X20" s="518">
        <f t="shared" si="2"/>
        <v>0</v>
      </c>
      <c r="Y20" s="518">
        <f t="shared" si="1"/>
        <v>4515546.9296246655</v>
      </c>
    </row>
    <row r="21" spans="2:25" ht="46" thickBot="1" x14ac:dyDescent="0.5">
      <c r="B21" s="365" t="str">
        <f>L21</f>
        <v>Interest Forest Lake</v>
      </c>
      <c r="C21" s="408">
        <f t="shared" si="8"/>
        <v>30668.799999999996</v>
      </c>
      <c r="D21" s="409">
        <f>M21*I45/12</f>
        <v>2555.7333333333331</v>
      </c>
      <c r="E21" s="410"/>
      <c r="F21" s="402"/>
      <c r="G21" s="406"/>
      <c r="H21" s="201"/>
      <c r="I21" s="407"/>
      <c r="J21" s="366"/>
      <c r="K21" s="215"/>
      <c r="L21" s="212" t="s">
        <v>167</v>
      </c>
      <c r="M21" s="225">
        <v>5.9900000000000002E-2</v>
      </c>
      <c r="N21" s="498"/>
      <c r="P21" s="359">
        <v>15</v>
      </c>
      <c r="Q21" s="517">
        <f t="shared" ca="1" si="7"/>
        <v>46511</v>
      </c>
      <c r="R21" s="517" t="str">
        <f t="shared" ca="1" si="0"/>
        <v>May 2027</v>
      </c>
      <c r="S21" s="518">
        <f t="shared" si="3"/>
        <v>7581999.7316821115</v>
      </c>
      <c r="T21" s="518"/>
      <c r="U21" s="524">
        <f t="shared" si="4"/>
        <v>1185680.3430101844</v>
      </c>
      <c r="V21" s="524">
        <f t="shared" si="5"/>
        <v>353213.1316666666</v>
      </c>
      <c r="W21" s="518">
        <f t="shared" si="6"/>
        <v>4524000</v>
      </c>
      <c r="X21" s="518">
        <f t="shared" si="2"/>
        <v>0</v>
      </c>
      <c r="Y21" s="518">
        <f t="shared" si="1"/>
        <v>4596893.2063589618</v>
      </c>
    </row>
    <row r="22" spans="2:25" ht="46" thickBot="1" x14ac:dyDescent="0.5">
      <c r="B22" s="365" t="str">
        <f>L22</f>
        <v>Interest Strathpine</v>
      </c>
      <c r="C22" s="408">
        <f t="shared" si="8"/>
        <v>13777</v>
      </c>
      <c r="D22" s="409">
        <f>M22*I46/12</f>
        <v>1148.0833333333333</v>
      </c>
      <c r="E22" s="411"/>
      <c r="F22" s="412"/>
      <c r="G22" s="413" t="s">
        <v>86</v>
      </c>
      <c r="H22" s="376">
        <f>I17-I28</f>
        <v>17658.080833333333</v>
      </c>
      <c r="I22" s="407"/>
      <c r="J22" s="366"/>
      <c r="K22" s="215"/>
      <c r="L22" s="212" t="s">
        <v>168</v>
      </c>
      <c r="M22" s="225">
        <v>5.9900000000000002E-2</v>
      </c>
      <c r="N22" s="498"/>
      <c r="P22" s="359">
        <v>16</v>
      </c>
      <c r="Q22" s="517">
        <f t="shared" ca="1" si="7"/>
        <v>46541</v>
      </c>
      <c r="R22" s="517" t="str">
        <f t="shared" ca="1" si="0"/>
        <v>June 2027</v>
      </c>
      <c r="S22" s="518">
        <f t="shared" si="3"/>
        <v>7626228.0634502573</v>
      </c>
      <c r="T22" s="518"/>
      <c r="U22" s="524">
        <f t="shared" si="4"/>
        <v>1205561.0125352691</v>
      </c>
      <c r="V22" s="524">
        <f t="shared" si="5"/>
        <v>370871.21249999991</v>
      </c>
      <c r="W22" s="518">
        <f t="shared" si="6"/>
        <v>4524000</v>
      </c>
      <c r="X22" s="518">
        <f t="shared" si="2"/>
        <v>0</v>
      </c>
      <c r="Y22" s="518">
        <f t="shared" si="1"/>
        <v>4678660.288485527</v>
      </c>
    </row>
    <row r="23" spans="2:25" ht="45" x14ac:dyDescent="0.45">
      <c r="B23" s="365" t="s">
        <v>219</v>
      </c>
      <c r="C23" s="408">
        <f t="shared" si="8"/>
        <v>46722</v>
      </c>
      <c r="D23" s="409">
        <f>M23*I47/12</f>
        <v>3893.5</v>
      </c>
      <c r="E23" s="410"/>
      <c r="F23" s="402"/>
      <c r="G23" s="414" t="s">
        <v>97</v>
      </c>
      <c r="H23" s="415"/>
      <c r="I23" s="407"/>
      <c r="J23" s="366"/>
      <c r="K23" s="215"/>
      <c r="L23" s="212" t="s">
        <v>218</v>
      </c>
      <c r="M23" s="225">
        <v>5.9900000000000002E-2</v>
      </c>
      <c r="N23" s="498"/>
      <c r="P23" s="359">
        <v>17</v>
      </c>
      <c r="Q23" s="517">
        <f t="shared" ca="1" si="7"/>
        <v>46571</v>
      </c>
      <c r="R23" s="517" t="str">
        <f t="shared" ca="1" si="0"/>
        <v>July 2027</v>
      </c>
      <c r="S23" s="518">
        <f t="shared" si="3"/>
        <v>7670714.3938203836</v>
      </c>
      <c r="T23" s="518"/>
      <c r="U23" s="524">
        <f t="shared" si="4"/>
        <v>1225607.3543063963</v>
      </c>
      <c r="V23" s="524">
        <f t="shared" si="5"/>
        <v>388529.29333333322</v>
      </c>
      <c r="W23" s="518">
        <f t="shared" si="6"/>
        <v>4524000</v>
      </c>
      <c r="X23" s="518">
        <f t="shared" si="2"/>
        <v>0</v>
      </c>
      <c r="Y23" s="518">
        <f t="shared" si="1"/>
        <v>4760851.0414601136</v>
      </c>
    </row>
    <row r="24" spans="2:25" ht="45" x14ac:dyDescent="0.45">
      <c r="B24" s="365"/>
      <c r="C24" s="366"/>
      <c r="D24" s="416"/>
      <c r="E24" s="410"/>
      <c r="F24" s="402"/>
      <c r="G24" s="406"/>
      <c r="H24" s="201"/>
      <c r="I24" s="407"/>
      <c r="J24" s="366"/>
      <c r="K24" s="215"/>
      <c r="L24" s="212"/>
      <c r="M24" s="213"/>
      <c r="N24" s="498"/>
      <c r="P24" s="359">
        <v>18</v>
      </c>
      <c r="Q24" s="517">
        <f t="shared" ca="1" si="7"/>
        <v>46601</v>
      </c>
      <c r="R24" s="517" t="str">
        <f t="shared" ca="1" si="0"/>
        <v>August 2027</v>
      </c>
      <c r="S24" s="518">
        <f t="shared" si="3"/>
        <v>7715460.2277843356</v>
      </c>
      <c r="T24" s="518"/>
      <c r="U24" s="524">
        <f t="shared" si="4"/>
        <v>1245820.7489256163</v>
      </c>
      <c r="V24" s="524">
        <f t="shared" si="5"/>
        <v>406187.37416666653</v>
      </c>
      <c r="W24" s="518">
        <f t="shared" si="6"/>
        <v>4524000</v>
      </c>
      <c r="X24" s="518">
        <f t="shared" si="2"/>
        <v>0</v>
      </c>
      <c r="Y24" s="518">
        <f t="shared" si="1"/>
        <v>4843468.3508766182</v>
      </c>
    </row>
    <row r="25" spans="2:25" ht="45" x14ac:dyDescent="0.45">
      <c r="B25" s="365" t="s">
        <v>98</v>
      </c>
      <c r="C25" s="408">
        <f>D25*12</f>
        <v>88055.23</v>
      </c>
      <c r="D25" s="417">
        <f>SUM(M30:M36)</f>
        <v>7337.935833333333</v>
      </c>
      <c r="E25" s="384"/>
      <c r="F25" s="366"/>
      <c r="G25" s="406"/>
      <c r="H25" s="201"/>
      <c r="I25" s="407"/>
      <c r="J25" s="366"/>
      <c r="K25" s="215"/>
      <c r="L25" s="212"/>
      <c r="M25" s="213"/>
      <c r="N25" s="498"/>
      <c r="P25" s="359">
        <v>19</v>
      </c>
      <c r="Q25" s="517">
        <f t="shared" ca="1" si="7"/>
        <v>46631</v>
      </c>
      <c r="R25" s="517" t="str">
        <f t="shared" ca="1" si="0"/>
        <v>September 2027</v>
      </c>
      <c r="S25" s="518">
        <f t="shared" si="3"/>
        <v>7760467.0791130774</v>
      </c>
      <c r="T25" s="518"/>
      <c r="U25" s="524">
        <f t="shared" si="4"/>
        <v>1266202.5884999963</v>
      </c>
      <c r="V25" s="524">
        <f t="shared" si="5"/>
        <v>423845.45499999984</v>
      </c>
      <c r="W25" s="518">
        <f t="shared" si="6"/>
        <v>4524000</v>
      </c>
      <c r="X25" s="518">
        <f t="shared" si="2"/>
        <v>0</v>
      </c>
      <c r="Y25" s="518">
        <f t="shared" si="1"/>
        <v>4926515.1226130743</v>
      </c>
    </row>
    <row r="26" spans="2:25" ht="45" x14ac:dyDescent="0.45">
      <c r="B26" s="365" t="s">
        <v>92</v>
      </c>
      <c r="C26" s="408">
        <f>D26*12</f>
        <v>0</v>
      </c>
      <c r="D26" s="417">
        <f>'Monthly Expenses Budget'!C10</f>
        <v>0</v>
      </c>
      <c r="E26" s="384"/>
      <c r="F26" s="366"/>
      <c r="G26" s="406"/>
      <c r="H26" s="201"/>
      <c r="I26" s="407"/>
      <c r="J26" s="366"/>
      <c r="K26" s="215"/>
      <c r="L26" s="212" t="s">
        <v>99</v>
      </c>
      <c r="M26" s="213"/>
      <c r="N26" s="498"/>
      <c r="P26" s="359">
        <v>20</v>
      </c>
      <c r="Q26" s="517">
        <f t="shared" ca="1" si="7"/>
        <v>46661</v>
      </c>
      <c r="R26" s="517" t="str">
        <f t="shared" ca="1" si="0"/>
        <v>October 2027</v>
      </c>
      <c r="S26" s="518">
        <f t="shared" si="3"/>
        <v>7805736.4704079041</v>
      </c>
      <c r="T26" s="518"/>
      <c r="U26" s="524">
        <f t="shared" si="4"/>
        <v>1286754.2767374963</v>
      </c>
      <c r="V26" s="524">
        <f t="shared" si="5"/>
        <v>441503.53583333315</v>
      </c>
      <c r="W26" s="518">
        <f t="shared" si="6"/>
        <v>4524000</v>
      </c>
      <c r="X26" s="518">
        <f t="shared" si="2"/>
        <v>0</v>
      </c>
      <c r="Y26" s="518">
        <f t="shared" si="1"/>
        <v>5009994.2829787321</v>
      </c>
    </row>
    <row r="27" spans="2:25" ht="46" thickBot="1" x14ac:dyDescent="0.5">
      <c r="B27" s="365" t="s">
        <v>27</v>
      </c>
      <c r="C27" s="408"/>
      <c r="D27" s="417">
        <f>M26</f>
        <v>0</v>
      </c>
      <c r="E27" s="384"/>
      <c r="F27" s="366"/>
      <c r="G27" s="406"/>
      <c r="H27" s="201"/>
      <c r="I27" s="407"/>
      <c r="J27" s="366"/>
      <c r="K27" s="215"/>
      <c r="L27" s="212"/>
      <c r="M27" s="213"/>
      <c r="N27" s="498"/>
      <c r="P27" s="359">
        <v>21</v>
      </c>
      <c r="Q27" s="517">
        <f t="shared" ca="1" si="7"/>
        <v>46691</v>
      </c>
      <c r="R27" s="517" t="str">
        <f t="shared" ca="1" si="0"/>
        <v>October 2027</v>
      </c>
      <c r="S27" s="518">
        <f t="shared" si="3"/>
        <v>7851269.9331519501</v>
      </c>
      <c r="T27" s="518"/>
      <c r="U27" s="524">
        <f t="shared" si="4"/>
        <v>1307477.2290436421</v>
      </c>
      <c r="V27" s="524">
        <f t="shared" si="5"/>
        <v>459161.61666666646</v>
      </c>
      <c r="W27" s="518">
        <f t="shared" si="6"/>
        <v>4524000</v>
      </c>
      <c r="X27" s="518">
        <f t="shared" si="2"/>
        <v>0</v>
      </c>
      <c r="Y27" s="518">
        <f t="shared" si="1"/>
        <v>5093908.7788622603</v>
      </c>
    </row>
    <row r="28" spans="2:25" ht="46" thickBot="1" x14ac:dyDescent="0.5">
      <c r="B28" s="418"/>
      <c r="C28" s="419"/>
      <c r="D28" s="420"/>
      <c r="E28" s="421"/>
      <c r="F28" s="366"/>
      <c r="G28" s="422" t="s">
        <v>58</v>
      </c>
      <c r="H28" s="423" t="s">
        <v>57</v>
      </c>
      <c r="I28" s="424">
        <f>SUM(D20:D27)</f>
        <v>14935.252499999999</v>
      </c>
      <c r="J28" s="366"/>
      <c r="K28" s="215"/>
      <c r="L28" s="211" t="s">
        <v>119</v>
      </c>
      <c r="M28" s="217">
        <f>SUM(M29:M36)</f>
        <v>7337.935833333333</v>
      </c>
      <c r="N28" s="215"/>
      <c r="P28" s="359">
        <v>22</v>
      </c>
      <c r="Q28" s="517">
        <f t="shared" ca="1" si="7"/>
        <v>46721</v>
      </c>
      <c r="R28" s="517" t="str">
        <f t="shared" ca="1" si="0"/>
        <v>November 2027</v>
      </c>
      <c r="S28" s="518">
        <f t="shared" si="3"/>
        <v>7897069.0077620037</v>
      </c>
      <c r="T28" s="518">
        <f>$V$4</f>
        <v>3000000</v>
      </c>
      <c r="U28" s="524">
        <f t="shared" si="4"/>
        <v>1328372.8726190056</v>
      </c>
      <c r="V28" s="524">
        <f t="shared" si="5"/>
        <v>476819.69749999978</v>
      </c>
      <c r="W28" s="518">
        <f t="shared" si="6"/>
        <v>4524000</v>
      </c>
      <c r="X28" s="518">
        <f t="shared" si="2"/>
        <v>3000000</v>
      </c>
      <c r="Y28" s="518">
        <f t="shared" si="1"/>
        <v>8178261.5778810084</v>
      </c>
    </row>
    <row r="29" spans="2:25" ht="46" thickBot="1" x14ac:dyDescent="0.5">
      <c r="B29" s="366"/>
      <c r="C29" s="366"/>
      <c r="D29" s="366"/>
      <c r="E29" s="425"/>
      <c r="F29" s="366"/>
      <c r="G29" s="366"/>
      <c r="H29" s="426"/>
      <c r="I29" s="425"/>
      <c r="J29" s="526"/>
      <c r="K29" s="499"/>
      <c r="L29" s="212" t="str">
        <f>'Monthly Expenses Budget'!B5</f>
        <v>Home and other Fixed Expenses</v>
      </c>
      <c r="M29" s="223">
        <f>'Monthly Expenses Budget'!C5</f>
        <v>0</v>
      </c>
      <c r="N29" s="215"/>
      <c r="P29" s="359">
        <v>23</v>
      </c>
      <c r="Q29" s="517">
        <f t="shared" ca="1" si="7"/>
        <v>46751</v>
      </c>
      <c r="R29" s="517" t="str">
        <f t="shared" ca="1" si="0"/>
        <v>December 2027</v>
      </c>
      <c r="S29" s="518">
        <f t="shared" si="3"/>
        <v>10943135.243640617</v>
      </c>
      <c r="T29" s="518"/>
      <c r="U29" s="524">
        <f t="shared" si="4"/>
        <v>1349442.6465574973</v>
      </c>
      <c r="V29" s="524">
        <f t="shared" si="5"/>
        <v>494477.77833333309</v>
      </c>
      <c r="W29" s="518">
        <f t="shared" si="6"/>
        <v>7524000</v>
      </c>
      <c r="X29" s="518">
        <f t="shared" si="2"/>
        <v>0</v>
      </c>
      <c r="Y29" s="518">
        <f t="shared" si="1"/>
        <v>5263055.6685314458</v>
      </c>
    </row>
    <row r="30" spans="2:25" ht="48" thickBot="1" x14ac:dyDescent="0.6">
      <c r="B30" s="622" t="s">
        <v>7</v>
      </c>
      <c r="C30" s="623"/>
      <c r="D30" s="623"/>
      <c r="E30" s="623"/>
      <c r="F30" s="623"/>
      <c r="G30" s="623"/>
      <c r="H30" s="623"/>
      <c r="I30" s="624"/>
      <c r="J30" s="525"/>
      <c r="K30" s="497"/>
      <c r="L30" s="212" t="str">
        <f>'Monthly Expenses Budget'!B12</f>
        <v>Essentials</v>
      </c>
      <c r="M30" s="223">
        <f>'Monthly Expenses Budget'!C12</f>
        <v>875.73250000000007</v>
      </c>
      <c r="N30" s="498"/>
      <c r="P30" s="359">
        <v>24</v>
      </c>
      <c r="Q30" s="517">
        <f t="shared" ca="1" si="7"/>
        <v>46781</v>
      </c>
      <c r="R30" s="517" t="str">
        <f t="shared" ca="1" si="0"/>
        <v>January 2028</v>
      </c>
      <c r="S30" s="518">
        <f t="shared" si="3"/>
        <v>11006970.19922852</v>
      </c>
      <c r="T30" s="518"/>
      <c r="U30" s="524">
        <f t="shared" si="4"/>
        <v>1370688.0019454765</v>
      </c>
      <c r="V30" s="524">
        <f t="shared" si="5"/>
        <v>512135.8591666664</v>
      </c>
      <c r="W30" s="518">
        <f t="shared" si="6"/>
        <v>7524000</v>
      </c>
      <c r="X30" s="518">
        <f t="shared" si="2"/>
        <v>0</v>
      </c>
      <c r="Y30" s="518">
        <f t="shared" si="1"/>
        <v>5365794.0603406634</v>
      </c>
    </row>
    <row r="31" spans="2:25" ht="46" thickBot="1" x14ac:dyDescent="0.5">
      <c r="B31" s="365"/>
      <c r="C31" s="366"/>
      <c r="D31" s="366"/>
      <c r="E31" s="201"/>
      <c r="F31" s="366"/>
      <c r="G31" s="366"/>
      <c r="H31" s="366"/>
      <c r="I31" s="201"/>
      <c r="J31" s="366"/>
      <c r="K31" s="215"/>
      <c r="L31" s="212" t="str">
        <f>'Monthly Expenses Budget'!B22</f>
        <v>Groceries</v>
      </c>
      <c r="M31" s="223">
        <f>'Monthly Expenses Budget'!C22</f>
        <v>2120</v>
      </c>
      <c r="N31" s="498"/>
      <c r="P31" s="359">
        <v>25</v>
      </c>
      <c r="Q31" s="517">
        <f t="shared" ca="1" si="7"/>
        <v>46811</v>
      </c>
      <c r="R31" s="517" t="str">
        <f t="shared" ca="1" si="0"/>
        <v>February 2028</v>
      </c>
      <c r="S31" s="518">
        <f t="shared" si="3"/>
        <v>11071177.525390686</v>
      </c>
      <c r="T31" s="518"/>
      <c r="U31" s="524">
        <f t="shared" si="4"/>
        <v>1392110.4019616889</v>
      </c>
      <c r="V31" s="524">
        <f t="shared" si="5"/>
        <v>529793.93999999971</v>
      </c>
      <c r="W31" s="518">
        <f t="shared" si="6"/>
        <v>7524000</v>
      </c>
      <c r="X31" s="518">
        <f t="shared" si="2"/>
        <v>0</v>
      </c>
      <c r="Y31" s="518">
        <f t="shared" si="1"/>
        <v>5469081.8673523758</v>
      </c>
    </row>
    <row r="32" spans="2:25" ht="46" thickBot="1" x14ac:dyDescent="0.5">
      <c r="B32" s="427" t="s">
        <v>49</v>
      </c>
      <c r="C32" s="428"/>
      <c r="D32" s="428"/>
      <c r="E32" s="429" t="s">
        <v>67</v>
      </c>
      <c r="F32" s="366"/>
      <c r="G32" s="430" t="s">
        <v>50</v>
      </c>
      <c r="H32" s="431"/>
      <c r="I32" s="432"/>
      <c r="J32" s="366"/>
      <c r="K32" s="215"/>
      <c r="L32" s="212" t="str">
        <f>'Monthly Expenses Budget'!B31</f>
        <v>House Maintenance</v>
      </c>
      <c r="M32" s="223">
        <f>'Monthly Expenses Budget'!C31</f>
        <v>230</v>
      </c>
      <c r="N32" s="498"/>
      <c r="P32" s="359">
        <v>26</v>
      </c>
      <c r="Q32" s="517">
        <f t="shared" ca="1" si="7"/>
        <v>46841</v>
      </c>
      <c r="R32" s="517" t="str">
        <f t="shared" ca="1" si="0"/>
        <v>March 2028</v>
      </c>
      <c r="S32" s="518">
        <f t="shared" si="3"/>
        <v>11135759.394288799</v>
      </c>
      <c r="T32" s="518"/>
      <c r="U32" s="524">
        <f t="shared" si="4"/>
        <v>1413711.3219780363</v>
      </c>
      <c r="V32" s="524">
        <f t="shared" si="5"/>
        <v>547452.02083333302</v>
      </c>
      <c r="W32" s="518">
        <f t="shared" si="6"/>
        <v>7524000</v>
      </c>
      <c r="X32" s="518">
        <f t="shared" si="2"/>
        <v>0</v>
      </c>
      <c r="Y32" s="518">
        <f t="shared" si="1"/>
        <v>5572922.7371001691</v>
      </c>
    </row>
    <row r="33" spans="2:25" ht="45" x14ac:dyDescent="0.45">
      <c r="B33" s="406"/>
      <c r="C33" s="366"/>
      <c r="D33" s="366"/>
      <c r="E33" s="407"/>
      <c r="F33" s="366"/>
      <c r="G33" s="365"/>
      <c r="H33" s="201"/>
      <c r="I33" s="384"/>
      <c r="J33" s="366"/>
      <c r="K33" s="215"/>
      <c r="L33" s="212" t="str">
        <f>'Monthly Expenses Budget'!B39</f>
        <v>Health</v>
      </c>
      <c r="M33" s="223">
        <f>'Monthly Expenses Budget'!C39</f>
        <v>1514.7033333333331</v>
      </c>
      <c r="N33" s="498"/>
      <c r="P33" s="359">
        <v>27</v>
      </c>
      <c r="Q33" s="517">
        <f t="shared" ca="1" si="7"/>
        <v>46871</v>
      </c>
      <c r="R33" s="517" t="str">
        <f t="shared" ca="1" si="0"/>
        <v>April 2028</v>
      </c>
      <c r="S33" s="518">
        <f t="shared" si="3"/>
        <v>11200717.990755484</v>
      </c>
      <c r="T33" s="518"/>
      <c r="U33" s="524">
        <f t="shared" si="4"/>
        <v>1435492.2496611865</v>
      </c>
      <c r="V33" s="524">
        <f t="shared" si="5"/>
        <v>565110.10166666633</v>
      </c>
      <c r="W33" s="518">
        <f t="shared" si="6"/>
        <v>7524000</v>
      </c>
      <c r="X33" s="518">
        <f t="shared" si="2"/>
        <v>0</v>
      </c>
      <c r="Y33" s="518">
        <f t="shared" si="1"/>
        <v>5677320.3420833368</v>
      </c>
    </row>
    <row r="34" spans="2:25" ht="45" x14ac:dyDescent="0.45">
      <c r="B34" s="406" t="s">
        <v>46</v>
      </c>
      <c r="C34" s="201"/>
      <c r="D34" s="366"/>
      <c r="E34" s="433">
        <f>M40</f>
        <v>106000</v>
      </c>
      <c r="F34" s="366"/>
      <c r="G34" s="365" t="s">
        <v>44</v>
      </c>
      <c r="H34" s="201"/>
      <c r="I34" s="434">
        <v>10000</v>
      </c>
      <c r="J34" s="366"/>
      <c r="K34" s="215"/>
      <c r="L34" s="212" t="str">
        <f>'Monthly Expenses Budget'!B49</f>
        <v>Discretionary</v>
      </c>
      <c r="M34" s="223">
        <f>'Monthly Expenses Budget'!C49</f>
        <v>1100</v>
      </c>
      <c r="N34" s="498"/>
      <c r="P34" s="359">
        <v>28</v>
      </c>
      <c r="Q34" s="517">
        <f t="shared" ca="1" si="7"/>
        <v>46901</v>
      </c>
      <c r="R34" s="517" t="str">
        <f t="shared" ca="1" si="0"/>
        <v>May 2028</v>
      </c>
      <c r="S34" s="518">
        <f t="shared" si="3"/>
        <v>11266055.512368225</v>
      </c>
      <c r="T34" s="518"/>
      <c r="U34" s="524">
        <f t="shared" si="4"/>
        <v>1457454.6850750297</v>
      </c>
      <c r="V34" s="524">
        <f t="shared" si="5"/>
        <v>582768.18249999965</v>
      </c>
      <c r="W34" s="518">
        <f t="shared" si="6"/>
        <v>7524000</v>
      </c>
      <c r="X34" s="518">
        <f t="shared" si="2"/>
        <v>0</v>
      </c>
      <c r="Y34" s="518">
        <f t="shared" si="1"/>
        <v>5782278.3799432535</v>
      </c>
    </row>
    <row r="35" spans="2:25" ht="45" x14ac:dyDescent="0.45">
      <c r="B35" s="406" t="s">
        <v>47</v>
      </c>
      <c r="C35" s="201"/>
      <c r="D35" s="366"/>
      <c r="E35" s="433">
        <f>M41</f>
        <v>0</v>
      </c>
      <c r="F35" s="366"/>
      <c r="G35" s="365" t="s">
        <v>45</v>
      </c>
      <c r="H35" s="201"/>
      <c r="I35" s="434">
        <v>2000</v>
      </c>
      <c r="J35" s="366"/>
      <c r="K35" s="215"/>
      <c r="L35" s="212" t="str">
        <f>'Monthly Expenses Budget'!B58</f>
        <v>Sports / Activities</v>
      </c>
      <c r="M35" s="223">
        <f>'Monthly Expenses Budget'!C58</f>
        <v>397.5</v>
      </c>
      <c r="N35" s="498"/>
      <c r="P35" s="359">
        <v>29</v>
      </c>
      <c r="Q35" s="517">
        <f t="shared" ca="1" si="7"/>
        <v>46931</v>
      </c>
      <c r="R35" s="517" t="str">
        <f t="shared" ca="1" si="0"/>
        <v>June 2028</v>
      </c>
      <c r="S35" s="518">
        <f t="shared" si="3"/>
        <v>11331774.169523707</v>
      </c>
      <c r="T35" s="518"/>
      <c r="U35" s="524">
        <f t="shared" si="4"/>
        <v>1479600.1407839882</v>
      </c>
      <c r="V35" s="524">
        <f t="shared" si="5"/>
        <v>600426.26333333296</v>
      </c>
      <c r="W35" s="518">
        <f t="shared" si="6"/>
        <v>7524000</v>
      </c>
      <c r="X35" s="518">
        <f t="shared" si="2"/>
        <v>0</v>
      </c>
      <c r="Y35" s="518">
        <f t="shared" si="1"/>
        <v>5887800.5736410283</v>
      </c>
    </row>
    <row r="36" spans="2:25" ht="46" thickBot="1" x14ac:dyDescent="0.5">
      <c r="B36" s="406"/>
      <c r="C36" s="201"/>
      <c r="D36" s="366"/>
      <c r="E36" s="435"/>
      <c r="F36" s="366"/>
      <c r="G36" s="365" t="s">
        <v>62</v>
      </c>
      <c r="H36" s="201"/>
      <c r="I36" s="436"/>
      <c r="J36" s="366"/>
      <c r="K36" s="215"/>
      <c r="L36" s="214" t="str">
        <f>'Monthly Expenses Budget'!B64</f>
        <v>Other</v>
      </c>
      <c r="M36" s="224">
        <f>'Monthly Expenses Budget'!C64</f>
        <v>1100</v>
      </c>
      <c r="N36" s="498"/>
      <c r="P36" s="359">
        <v>30</v>
      </c>
      <c r="Q36" s="517">
        <f t="shared" ca="1" si="7"/>
        <v>46961</v>
      </c>
      <c r="R36" s="517" t="str">
        <f t="shared" ca="1" si="0"/>
        <v>July 2028</v>
      </c>
      <c r="S36" s="518">
        <f t="shared" si="3"/>
        <v>11397876.185512595</v>
      </c>
      <c r="T36" s="518"/>
      <c r="U36" s="524">
        <f t="shared" si="4"/>
        <v>1501930.141957188</v>
      </c>
      <c r="V36" s="524">
        <f t="shared" si="5"/>
        <v>618084.34416666627</v>
      </c>
      <c r="W36" s="518">
        <f t="shared" si="6"/>
        <v>7524000</v>
      </c>
      <c r="X36" s="518">
        <f t="shared" si="2"/>
        <v>0</v>
      </c>
      <c r="Y36" s="518">
        <f t="shared" si="1"/>
        <v>5993890.6716364492</v>
      </c>
    </row>
    <row r="37" spans="2:25" ht="45" x14ac:dyDescent="0.45">
      <c r="B37" s="406" t="s">
        <v>51</v>
      </c>
      <c r="C37" s="201"/>
      <c r="D37" s="366"/>
      <c r="E37" s="433">
        <f>M43</f>
        <v>190000</v>
      </c>
      <c r="F37" s="366"/>
      <c r="G37" s="365" t="s">
        <v>61</v>
      </c>
      <c r="H37" s="201"/>
      <c r="I37" s="436"/>
      <c r="J37" s="366"/>
      <c r="K37" s="215"/>
      <c r="L37" s="496"/>
      <c r="M37" s="215"/>
      <c r="N37" s="498"/>
      <c r="P37" s="359">
        <v>31</v>
      </c>
      <c r="Q37" s="517">
        <f t="shared" ca="1" si="7"/>
        <v>46991</v>
      </c>
      <c r="R37" s="517" t="str">
        <f t="shared" ca="1" si="0"/>
        <v>August 2028</v>
      </c>
      <c r="S37" s="518">
        <f t="shared" si="3"/>
        <v>11464363.796594752</v>
      </c>
      <c r="T37" s="518"/>
      <c r="U37" s="524">
        <f t="shared" si="4"/>
        <v>1524446.2264734979</v>
      </c>
      <c r="V37" s="524">
        <f t="shared" si="5"/>
        <v>635742.42499999958</v>
      </c>
      <c r="W37" s="518">
        <f t="shared" si="6"/>
        <v>7524000</v>
      </c>
      <c r="X37" s="518">
        <f t="shared" si="2"/>
        <v>0</v>
      </c>
      <c r="Y37" s="518">
        <f t="shared" si="1"/>
        <v>6100552.4480682481</v>
      </c>
    </row>
    <row r="38" spans="2:25" ht="46" thickBot="1" x14ac:dyDescent="0.5">
      <c r="B38" s="406" t="s">
        <v>52</v>
      </c>
      <c r="C38" s="201"/>
      <c r="D38" s="366"/>
      <c r="E38" s="433">
        <f>M44</f>
        <v>218000</v>
      </c>
      <c r="F38" s="366"/>
      <c r="G38" s="365"/>
      <c r="H38" s="201"/>
      <c r="I38" s="437"/>
      <c r="J38" s="366"/>
      <c r="K38" s="215"/>
      <c r="L38" s="215"/>
      <c r="M38" s="216"/>
      <c r="N38" s="498"/>
      <c r="P38" s="359">
        <v>32</v>
      </c>
      <c r="Q38" s="517">
        <f t="shared" ca="1" si="7"/>
        <v>47021</v>
      </c>
      <c r="R38" s="517" t="str">
        <f t="shared" ca="1" si="0"/>
        <v>September 2028</v>
      </c>
      <c r="S38" s="518">
        <f t="shared" si="3"/>
        <v>11531239.252074888</v>
      </c>
      <c r="T38" s="518"/>
      <c r="U38" s="524">
        <f t="shared" si="4"/>
        <v>1547149.9450274436</v>
      </c>
      <c r="V38" s="524">
        <f t="shared" si="5"/>
        <v>653400.50583333289</v>
      </c>
      <c r="W38" s="518">
        <f t="shared" si="6"/>
        <v>7524000</v>
      </c>
      <c r="X38" s="518">
        <f t="shared" si="2"/>
        <v>0</v>
      </c>
      <c r="Y38" s="518">
        <f t="shared" si="1"/>
        <v>6207789.702935664</v>
      </c>
    </row>
    <row r="39" spans="2:25" ht="45" x14ac:dyDescent="0.45">
      <c r="B39" s="406" t="s">
        <v>54</v>
      </c>
      <c r="C39" s="201"/>
      <c r="D39" s="366"/>
      <c r="E39" s="433">
        <f>M45</f>
        <v>516000</v>
      </c>
      <c r="F39" s="366"/>
      <c r="G39" s="365"/>
      <c r="H39" s="201"/>
      <c r="I39" s="437"/>
      <c r="J39" s="366"/>
      <c r="K39" s="215"/>
      <c r="L39" s="241" t="s">
        <v>49</v>
      </c>
      <c r="M39" s="243"/>
      <c r="N39" s="498"/>
      <c r="P39" s="359">
        <v>33</v>
      </c>
      <c r="Q39" s="517">
        <f t="shared" ca="1" si="7"/>
        <v>47051</v>
      </c>
      <c r="R39" s="517" t="str">
        <f t="shared" ca="1" si="0"/>
        <v>October 2028</v>
      </c>
      <c r="S39" s="518">
        <f t="shared" si="3"/>
        <v>11598504.814378658</v>
      </c>
      <c r="T39" s="518"/>
      <c r="U39" s="524">
        <f t="shared" si="4"/>
        <v>1570042.8612360056</v>
      </c>
      <c r="V39" s="524">
        <f t="shared" si="5"/>
        <v>671058.5866666662</v>
      </c>
      <c r="W39" s="518">
        <f t="shared" si="6"/>
        <v>7524000</v>
      </c>
      <c r="X39" s="518">
        <f t="shared" si="2"/>
        <v>0</v>
      </c>
      <c r="Y39" s="518">
        <f t="shared" si="1"/>
        <v>6315606.2622813303</v>
      </c>
    </row>
    <row r="40" spans="2:25" ht="45" x14ac:dyDescent="0.45">
      <c r="B40" s="406"/>
      <c r="C40" s="201"/>
      <c r="D40" s="366"/>
      <c r="E40" s="433"/>
      <c r="F40" s="366"/>
      <c r="G40" s="365"/>
      <c r="H40" s="201"/>
      <c r="I40" s="437"/>
      <c r="J40" s="366"/>
      <c r="K40" s="215"/>
      <c r="L40" s="212" t="s">
        <v>77</v>
      </c>
      <c r="M40" s="223">
        <v>106000</v>
      </c>
      <c r="N40" s="498"/>
      <c r="P40" s="359">
        <v>34</v>
      </c>
      <c r="Q40" s="517">
        <f t="shared" ca="1" si="7"/>
        <v>47081</v>
      </c>
      <c r="R40" s="517" t="str">
        <f t="shared" ca="1" si="0"/>
        <v>November 2028</v>
      </c>
      <c r="S40" s="518">
        <f t="shared" si="3"/>
        <v>11666162.7591292</v>
      </c>
      <c r="T40" s="518">
        <f>$V$4</f>
        <v>3000000</v>
      </c>
      <c r="U40" s="524">
        <f t="shared" si="4"/>
        <v>1593126.5517463055</v>
      </c>
      <c r="V40" s="524">
        <f t="shared" si="5"/>
        <v>688716.66749999952</v>
      </c>
      <c r="W40" s="518">
        <f t="shared" si="6"/>
        <v>7524000</v>
      </c>
      <c r="X40" s="518">
        <f t="shared" si="2"/>
        <v>3000000</v>
      </c>
      <c r="Y40" s="518">
        <f t="shared" si="1"/>
        <v>9424005.9783755057</v>
      </c>
    </row>
    <row r="41" spans="2:25" ht="45" x14ac:dyDescent="0.45">
      <c r="B41" s="406" t="s">
        <v>65</v>
      </c>
      <c r="C41" s="201"/>
      <c r="D41" s="366"/>
      <c r="E41" s="433">
        <f>M47</f>
        <v>220000</v>
      </c>
      <c r="F41" s="366"/>
      <c r="G41" s="365"/>
      <c r="H41" s="201"/>
      <c r="I41" s="437"/>
      <c r="J41" s="366"/>
      <c r="K41" s="215"/>
      <c r="L41" s="212" t="s">
        <v>78</v>
      </c>
      <c r="M41" s="223"/>
      <c r="N41" s="498"/>
      <c r="P41" s="359">
        <v>35</v>
      </c>
      <c r="Q41" s="517">
        <f t="shared" ca="1" si="7"/>
        <v>47111</v>
      </c>
      <c r="R41" s="517" t="str">
        <f t="shared" ca="1" si="0"/>
        <v>December 2028</v>
      </c>
      <c r="S41" s="518">
        <f t="shared" si="3"/>
        <v>14734215.375224121</v>
      </c>
      <c r="T41" s="518"/>
      <c r="U41" s="524">
        <f t="shared" si="4"/>
        <v>1616402.6063441914</v>
      </c>
      <c r="V41" s="524">
        <f t="shared" si="5"/>
        <v>706374.74833333283</v>
      </c>
      <c r="W41" s="518">
        <f t="shared" si="6"/>
        <v>10524000</v>
      </c>
      <c r="X41" s="518">
        <f t="shared" si="2"/>
        <v>0</v>
      </c>
      <c r="Y41" s="518">
        <f t="shared" si="1"/>
        <v>6532992.7299016453</v>
      </c>
    </row>
    <row r="42" spans="2:25" ht="45" x14ac:dyDescent="0.45">
      <c r="B42" s="406" t="s">
        <v>66</v>
      </c>
      <c r="C42" s="201"/>
      <c r="D42" s="366"/>
      <c r="E42" s="433">
        <f>M48</f>
        <v>200000</v>
      </c>
      <c r="F42" s="366"/>
      <c r="G42" s="365"/>
      <c r="H42" s="201"/>
      <c r="I42" s="437"/>
      <c r="J42" s="366"/>
      <c r="K42" s="215"/>
      <c r="L42" s="212"/>
      <c r="M42" s="213"/>
      <c r="N42" s="498"/>
      <c r="P42" s="359">
        <v>36</v>
      </c>
      <c r="Q42" s="517">
        <f t="shared" ca="1" si="7"/>
        <v>47141</v>
      </c>
      <c r="R42" s="517" t="str">
        <f t="shared" ca="1" si="0"/>
        <v>January 2029</v>
      </c>
      <c r="S42" s="518">
        <f t="shared" si="3"/>
        <v>14820164.964912929</v>
      </c>
      <c r="T42" s="518"/>
      <c r="U42" s="524">
        <f t="shared" si="4"/>
        <v>1639872.6280637262</v>
      </c>
      <c r="V42" s="524">
        <f t="shared" si="5"/>
        <v>724032.82916666614</v>
      </c>
      <c r="W42" s="518">
        <f t="shared" si="6"/>
        <v>10524000</v>
      </c>
      <c r="X42" s="518">
        <f t="shared" si="2"/>
        <v>0</v>
      </c>
      <c r="Y42" s="518">
        <f t="shared" si="1"/>
        <v>6660070.4221433215</v>
      </c>
    </row>
    <row r="43" spans="2:25" ht="45" x14ac:dyDescent="0.45">
      <c r="B43" s="406"/>
      <c r="C43" s="366"/>
      <c r="D43" s="389" t="s">
        <v>63</v>
      </c>
      <c r="E43" s="435"/>
      <c r="F43" s="366"/>
      <c r="G43" s="365"/>
      <c r="H43" s="201"/>
      <c r="I43" s="437"/>
      <c r="J43" s="366"/>
      <c r="K43" s="215"/>
      <c r="L43" s="212" t="s">
        <v>79</v>
      </c>
      <c r="M43" s="223">
        <v>190000</v>
      </c>
      <c r="N43" s="498"/>
      <c r="P43" s="359">
        <v>37</v>
      </c>
      <c r="Q43" s="517">
        <f t="shared" ca="1" si="7"/>
        <v>47171</v>
      </c>
      <c r="R43" s="517" t="str">
        <f t="shared" ca="1" si="0"/>
        <v>February 2029</v>
      </c>
      <c r="S43" s="518">
        <f t="shared" si="3"/>
        <v>14906615.927208254</v>
      </c>
      <c r="T43" s="518"/>
      <c r="U43" s="524">
        <f t="shared" si="4"/>
        <v>1663538.2332975906</v>
      </c>
      <c r="V43" s="524">
        <f t="shared" si="5"/>
        <v>741690.90999999945</v>
      </c>
      <c r="W43" s="518">
        <f t="shared" si="6"/>
        <v>10524000</v>
      </c>
      <c r="X43" s="518">
        <f t="shared" si="2"/>
        <v>0</v>
      </c>
      <c r="Y43" s="518">
        <f t="shared" si="1"/>
        <v>6787845.0705058426</v>
      </c>
    </row>
    <row r="44" spans="2:25" ht="45" x14ac:dyDescent="0.45">
      <c r="B44" s="406" t="s">
        <v>2</v>
      </c>
      <c r="C44" s="366"/>
      <c r="D44" s="438">
        <f>E44-I44</f>
        <v>1900000</v>
      </c>
      <c r="E44" s="433">
        <f>M50</f>
        <v>1900000</v>
      </c>
      <c r="F44" s="366"/>
      <c r="G44" s="365" t="s">
        <v>6</v>
      </c>
      <c r="H44" s="201"/>
      <c r="I44" s="434">
        <f>M62</f>
        <v>0</v>
      </c>
      <c r="J44" s="366"/>
      <c r="K44" s="215"/>
      <c r="L44" s="212" t="s">
        <v>80</v>
      </c>
      <c r="M44" s="223">
        <v>218000</v>
      </c>
      <c r="N44" s="498"/>
      <c r="P44" s="359">
        <v>38</v>
      </c>
      <c r="Q44" s="517">
        <f t="shared" ca="1" si="7"/>
        <v>47201</v>
      </c>
      <c r="R44" s="517" t="str">
        <f t="shared" ca="1" si="0"/>
        <v>March 2029</v>
      </c>
      <c r="S44" s="518">
        <f t="shared" si="3"/>
        <v>14993571.186783636</v>
      </c>
      <c r="T44" s="518"/>
      <c r="U44" s="524">
        <f t="shared" si="4"/>
        <v>1687401.0519084039</v>
      </c>
      <c r="V44" s="524">
        <f t="shared" si="5"/>
        <v>759348.99083333276</v>
      </c>
      <c r="W44" s="518">
        <f t="shared" si="6"/>
        <v>10524000</v>
      </c>
      <c r="X44" s="518">
        <f t="shared" si="2"/>
        <v>0</v>
      </c>
      <c r="Y44" s="518">
        <f t="shared" si="1"/>
        <v>6916321.2295253724</v>
      </c>
    </row>
    <row r="45" spans="2:25" ht="45" x14ac:dyDescent="0.45">
      <c r="B45" s="406" t="str">
        <f>L51</f>
        <v>Investment 1 - Forest Lake value</v>
      </c>
      <c r="C45" s="366"/>
      <c r="D45" s="438">
        <f>E45-I45</f>
        <v>438000</v>
      </c>
      <c r="E45" s="433">
        <f>M51</f>
        <v>950000</v>
      </c>
      <c r="F45" s="366"/>
      <c r="G45" s="365" t="s">
        <v>3</v>
      </c>
      <c r="H45" s="201"/>
      <c r="I45" s="434">
        <f>M64</f>
        <v>512000</v>
      </c>
      <c r="J45" s="366"/>
      <c r="K45" s="215"/>
      <c r="L45" s="212" t="s">
        <v>81</v>
      </c>
      <c r="M45" s="223">
        <v>516000</v>
      </c>
      <c r="N45" s="498"/>
      <c r="P45" s="359">
        <v>39</v>
      </c>
      <c r="Q45" s="517">
        <f t="shared" ca="1" si="7"/>
        <v>47231</v>
      </c>
      <c r="R45" s="517" t="str">
        <f t="shared" ca="1" si="0"/>
        <v>April 2029</v>
      </c>
      <c r="S45" s="518">
        <f t="shared" si="3"/>
        <v>15081033.685373208</v>
      </c>
      <c r="T45" s="518"/>
      <c r="U45" s="524">
        <f t="shared" si="4"/>
        <v>1711462.7273409739</v>
      </c>
      <c r="V45" s="524">
        <f t="shared" si="5"/>
        <v>777007.07166666607</v>
      </c>
      <c r="W45" s="518">
        <f t="shared" si="6"/>
        <v>10524000</v>
      </c>
      <c r="X45" s="518">
        <f t="shared" si="2"/>
        <v>0</v>
      </c>
      <c r="Y45" s="518">
        <f t="shared" si="1"/>
        <v>7045503.4843808487</v>
      </c>
    </row>
    <row r="46" spans="2:25" ht="45" x14ac:dyDescent="0.45">
      <c r="B46" s="406" t="str">
        <f>L52</f>
        <v>Investment 2 - Strathpine value</v>
      </c>
      <c r="C46" s="366"/>
      <c r="D46" s="438">
        <f>E46-I46</f>
        <v>370000</v>
      </c>
      <c r="E46" s="433">
        <f>M52</f>
        <v>600000</v>
      </c>
      <c r="F46" s="366"/>
      <c r="G46" s="365" t="s">
        <v>4</v>
      </c>
      <c r="H46" s="201"/>
      <c r="I46" s="434">
        <f>M65</f>
        <v>230000</v>
      </c>
      <c r="J46" s="366"/>
      <c r="K46" s="215"/>
      <c r="L46" s="212"/>
      <c r="M46" s="213"/>
      <c r="N46" s="498"/>
      <c r="P46" s="359">
        <v>40</v>
      </c>
      <c r="Q46" s="517">
        <f t="shared" ca="1" si="7"/>
        <v>47261</v>
      </c>
      <c r="R46" s="517" t="str">
        <f t="shared" ca="1" si="0"/>
        <v>May 2029</v>
      </c>
      <c r="S46" s="518">
        <f t="shared" si="3"/>
        <v>15169006.381871218</v>
      </c>
      <c r="T46" s="518"/>
      <c r="U46" s="524">
        <f t="shared" si="4"/>
        <v>1735724.9167354819</v>
      </c>
      <c r="V46" s="524">
        <f t="shared" si="5"/>
        <v>794665.15249999939</v>
      </c>
      <c r="W46" s="518">
        <f t="shared" si="6"/>
        <v>10524000</v>
      </c>
      <c r="X46" s="518">
        <f t="shared" si="2"/>
        <v>0</v>
      </c>
      <c r="Y46" s="518">
        <f t="shared" si="1"/>
        <v>7175396.451106701</v>
      </c>
    </row>
    <row r="47" spans="2:25" ht="45" x14ac:dyDescent="0.45">
      <c r="B47" s="406" t="str">
        <f>L53</f>
        <v>Investment 3 - Mt Sheridan value</v>
      </c>
      <c r="C47" s="366"/>
      <c r="D47" s="438">
        <f>E47-I47</f>
        <v>-55000</v>
      </c>
      <c r="E47" s="433">
        <f>M53</f>
        <v>725000</v>
      </c>
      <c r="F47" s="366"/>
      <c r="G47" s="365" t="s">
        <v>213</v>
      </c>
      <c r="H47" s="201"/>
      <c r="I47" s="434">
        <f>M66</f>
        <v>780000</v>
      </c>
      <c r="J47" s="366"/>
      <c r="K47" s="215"/>
      <c r="L47" s="212" t="s">
        <v>65</v>
      </c>
      <c r="M47" s="223">
        <v>220000</v>
      </c>
      <c r="N47" s="498"/>
      <c r="P47" s="359">
        <v>41</v>
      </c>
      <c r="Q47" s="517">
        <f t="shared" ca="1" si="7"/>
        <v>47291</v>
      </c>
      <c r="R47" s="517" t="str">
        <f t="shared" ca="1" si="0"/>
        <v>June 2029</v>
      </c>
      <c r="S47" s="518">
        <f t="shared" si="3"/>
        <v>15257492.252432134</v>
      </c>
      <c r="T47" s="518"/>
      <c r="U47" s="524">
        <f t="shared" si="4"/>
        <v>1760189.291041611</v>
      </c>
      <c r="V47" s="524">
        <f t="shared" si="5"/>
        <v>812323.2333333327</v>
      </c>
      <c r="W47" s="518">
        <f t="shared" si="6"/>
        <v>10524000</v>
      </c>
      <c r="X47" s="518">
        <f t="shared" si="2"/>
        <v>0</v>
      </c>
      <c r="Y47" s="518">
        <f t="shared" si="1"/>
        <v>7306004.776807081</v>
      </c>
    </row>
    <row r="48" spans="2:25" ht="45" x14ac:dyDescent="0.45">
      <c r="B48" s="406"/>
      <c r="C48" s="438"/>
      <c r="D48" s="366"/>
      <c r="E48" s="407"/>
      <c r="F48" s="366"/>
      <c r="G48" s="365"/>
      <c r="H48" s="201"/>
      <c r="I48" s="384" t="s">
        <v>8</v>
      </c>
      <c r="J48" s="366"/>
      <c r="K48" s="215"/>
      <c r="L48" s="212" t="s">
        <v>66</v>
      </c>
      <c r="M48" s="223">
        <v>200000</v>
      </c>
      <c r="N48" s="500"/>
      <c r="P48" s="359">
        <v>42</v>
      </c>
      <c r="Q48" s="517">
        <f t="shared" ca="1" si="7"/>
        <v>47321</v>
      </c>
      <c r="R48" s="517" t="str">
        <f t="shared" ca="1" si="0"/>
        <v>July 2029</v>
      </c>
      <c r="S48" s="518">
        <f t="shared" si="3"/>
        <v>15346494.290571323</v>
      </c>
      <c r="T48" s="518"/>
      <c r="U48" s="524">
        <f t="shared" si="4"/>
        <v>1784857.5351336244</v>
      </c>
      <c r="V48" s="524">
        <f t="shared" si="5"/>
        <v>829981.31416666601</v>
      </c>
      <c r="W48" s="518">
        <f t="shared" si="6"/>
        <v>10524000</v>
      </c>
      <c r="X48" s="518">
        <f t="shared" si="2"/>
        <v>0</v>
      </c>
      <c r="Y48" s="518">
        <f t="shared" si="1"/>
        <v>7437333.1398716122</v>
      </c>
    </row>
    <row r="49" spans="2:26" ht="46" thickBot="1" x14ac:dyDescent="0.5">
      <c r="B49" s="439" t="s">
        <v>156</v>
      </c>
      <c r="C49" s="201"/>
      <c r="D49" s="366"/>
      <c r="E49" s="440">
        <f>SUM(E34:E48)</f>
        <v>5625000</v>
      </c>
      <c r="F49" s="366"/>
      <c r="G49" s="441"/>
      <c r="H49" s="420"/>
      <c r="I49" s="442"/>
      <c r="J49" s="366"/>
      <c r="K49" s="215"/>
      <c r="L49" s="212"/>
      <c r="M49" s="213"/>
      <c r="N49" s="498"/>
      <c r="P49" s="359">
        <v>43</v>
      </c>
      <c r="Q49" s="517">
        <f t="shared" ca="1" si="7"/>
        <v>47351</v>
      </c>
      <c r="R49" s="517" t="str">
        <f t="shared" ca="1" si="0"/>
        <v>August 2029</v>
      </c>
      <c r="S49" s="518">
        <f t="shared" si="3"/>
        <v>15436015.507266322</v>
      </c>
      <c r="T49" s="518"/>
      <c r="U49" s="524">
        <f t="shared" si="4"/>
        <v>1809731.3479264046</v>
      </c>
      <c r="V49" s="524">
        <f t="shared" si="5"/>
        <v>847639.39499999932</v>
      </c>
      <c r="W49" s="518">
        <f t="shared" si="6"/>
        <v>10524000</v>
      </c>
      <c r="X49" s="518">
        <f t="shared" si="2"/>
        <v>0</v>
      </c>
      <c r="Y49" s="518">
        <f t="shared" si="1"/>
        <v>7569386.2501927279</v>
      </c>
    </row>
    <row r="50" spans="2:26" s="120" customFormat="1" ht="46" thickBot="1" x14ac:dyDescent="0.5">
      <c r="B50" s="443" t="s">
        <v>60</v>
      </c>
      <c r="C50" s="444"/>
      <c r="D50" s="444"/>
      <c r="E50" s="445">
        <f>SUM(E49-E42-E41)</f>
        <v>5205000</v>
      </c>
      <c r="F50" s="416"/>
      <c r="G50" s="446" t="s">
        <v>59</v>
      </c>
      <c r="H50" s="447"/>
      <c r="I50" s="448">
        <f>SUM(I35:I49)</f>
        <v>1524000</v>
      </c>
      <c r="J50" s="416"/>
      <c r="K50" s="496"/>
      <c r="L50" s="212" t="s">
        <v>82</v>
      </c>
      <c r="M50" s="223">
        <v>1900000</v>
      </c>
      <c r="N50" s="498"/>
      <c r="O50" s="119"/>
      <c r="P50" s="359">
        <v>44</v>
      </c>
      <c r="Q50" s="517">
        <f t="shared" ca="1" si="7"/>
        <v>47381</v>
      </c>
      <c r="R50" s="517" t="str">
        <f t="shared" ca="1" si="0"/>
        <v>September 2029</v>
      </c>
      <c r="S50" s="518">
        <f t="shared" si="3"/>
        <v>15526058.931058709</v>
      </c>
      <c r="T50" s="518"/>
      <c r="U50" s="524">
        <f t="shared" si="4"/>
        <v>1834812.4424924578</v>
      </c>
      <c r="V50" s="524">
        <f t="shared" si="5"/>
        <v>865297.47583333263</v>
      </c>
      <c r="W50" s="518">
        <f t="shared" si="6"/>
        <v>10524000</v>
      </c>
      <c r="X50" s="518">
        <f t="shared" si="2"/>
        <v>0</v>
      </c>
      <c r="Y50" s="518">
        <f t="shared" si="1"/>
        <v>7702168.8493845016</v>
      </c>
      <c r="Z50" s="119"/>
    </row>
    <row r="51" spans="2:26" s="120" customFormat="1" ht="46" thickBot="1" x14ac:dyDescent="0.5">
      <c r="B51" s="416"/>
      <c r="C51" s="416"/>
      <c r="D51" s="416"/>
      <c r="E51" s="416"/>
      <c r="F51" s="416"/>
      <c r="G51" s="416"/>
      <c r="H51" s="416"/>
      <c r="I51" s="416"/>
      <c r="J51" s="416"/>
      <c r="K51" s="496"/>
      <c r="L51" s="212" t="s">
        <v>169</v>
      </c>
      <c r="M51" s="223">
        <v>950000</v>
      </c>
      <c r="N51" s="215"/>
      <c r="O51" s="119"/>
      <c r="P51" s="359">
        <v>45</v>
      </c>
      <c r="Q51" s="517">
        <f t="shared" ca="1" si="7"/>
        <v>47411</v>
      </c>
      <c r="R51" s="517" t="str">
        <f t="shared" ca="1" si="0"/>
        <v>October 2029</v>
      </c>
      <c r="S51" s="518">
        <f t="shared" si="3"/>
        <v>15616627.608156551</v>
      </c>
      <c r="T51" s="518"/>
      <c r="U51" s="524">
        <f t="shared" si="4"/>
        <v>1860102.5461798948</v>
      </c>
      <c r="V51" s="524">
        <f t="shared" si="5"/>
        <v>882955.55666666594</v>
      </c>
      <c r="W51" s="518">
        <f t="shared" si="6"/>
        <v>10524000</v>
      </c>
      <c r="X51" s="518">
        <f t="shared" si="2"/>
        <v>0</v>
      </c>
      <c r="Y51" s="518">
        <f t="shared" si="1"/>
        <v>7835685.7110031098</v>
      </c>
      <c r="Z51" s="119"/>
    </row>
    <row r="52" spans="2:26" s="120" customFormat="1" ht="47" x14ac:dyDescent="0.55000000000000004">
      <c r="B52" s="625" t="s">
        <v>104</v>
      </c>
      <c r="C52" s="626"/>
      <c r="D52" s="626"/>
      <c r="E52" s="626"/>
      <c r="F52" s="627"/>
      <c r="G52" s="627"/>
      <c r="H52" s="627"/>
      <c r="I52" s="628"/>
      <c r="J52" s="366"/>
      <c r="K52" s="215"/>
      <c r="L52" s="212" t="s">
        <v>170</v>
      </c>
      <c r="M52" s="223">
        <v>600000</v>
      </c>
      <c r="N52" s="215"/>
      <c r="O52" s="119"/>
      <c r="P52" s="359">
        <v>46</v>
      </c>
      <c r="Q52" s="517">
        <f t="shared" ca="1" si="7"/>
        <v>47441</v>
      </c>
      <c r="R52" s="517" t="str">
        <f t="shared" ca="1" si="0"/>
        <v>November 2029</v>
      </c>
      <c r="S52" s="518">
        <f t="shared" si="3"/>
        <v>15707724.602537464</v>
      </c>
      <c r="T52" s="518">
        <f>$V$4</f>
        <v>3000000</v>
      </c>
      <c r="U52" s="524">
        <f t="shared" si="4"/>
        <v>1885603.4007313938</v>
      </c>
      <c r="V52" s="524">
        <f t="shared" si="5"/>
        <v>900613.63749999925</v>
      </c>
      <c r="W52" s="518">
        <f t="shared" si="6"/>
        <v>10524000</v>
      </c>
      <c r="X52" s="518">
        <f t="shared" si="2"/>
        <v>3000000</v>
      </c>
      <c r="Y52" s="518">
        <f t="shared" si="1"/>
        <v>10969941.640768856</v>
      </c>
      <c r="Z52" s="119"/>
    </row>
    <row r="53" spans="2:26" s="120" customFormat="1" ht="46" thickBot="1" x14ac:dyDescent="0.5">
      <c r="B53" s="449"/>
      <c r="C53" s="381"/>
      <c r="D53" s="381"/>
      <c r="E53" s="381"/>
      <c r="F53" s="381"/>
      <c r="G53" s="381"/>
      <c r="H53" s="381"/>
      <c r="I53" s="450"/>
      <c r="J53" s="416"/>
      <c r="K53" s="496"/>
      <c r="L53" s="214" t="s">
        <v>214</v>
      </c>
      <c r="M53" s="224">
        <v>725000</v>
      </c>
      <c r="N53" s="215"/>
      <c r="O53" s="119"/>
      <c r="P53" s="359">
        <v>47</v>
      </c>
      <c r="Q53" s="517">
        <f t="shared" ca="1" si="7"/>
        <v>47471</v>
      </c>
      <c r="R53" s="517" t="str">
        <f t="shared" ca="1" si="0"/>
        <v>December 2029</v>
      </c>
      <c r="S53" s="518">
        <f t="shared" si="3"/>
        <v>18799352.996052265</v>
      </c>
      <c r="T53" s="518"/>
      <c r="U53" s="524">
        <f t="shared" si="4"/>
        <v>1911316.7624041555</v>
      </c>
      <c r="V53" s="524">
        <f t="shared" si="5"/>
        <v>918271.71833333257</v>
      </c>
      <c r="W53" s="518">
        <f t="shared" si="6"/>
        <v>13524000</v>
      </c>
      <c r="X53" s="518">
        <f t="shared" si="2"/>
        <v>0</v>
      </c>
      <c r="Y53" s="518">
        <f t="shared" si="1"/>
        <v>8104941.4767897539</v>
      </c>
      <c r="Z53" s="119"/>
    </row>
    <row r="54" spans="2:26" s="120" customFormat="1" ht="45" x14ac:dyDescent="0.45">
      <c r="B54" s="451" t="s">
        <v>102</v>
      </c>
      <c r="C54" s="452"/>
      <c r="D54" s="381"/>
      <c r="E54" s="416"/>
      <c r="F54" s="380"/>
      <c r="G54" s="380" t="s">
        <v>103</v>
      </c>
      <c r="H54" s="452"/>
      <c r="I54" s="450"/>
      <c r="J54" s="366"/>
      <c r="K54" s="215"/>
      <c r="L54" s="496"/>
      <c r="M54" s="496"/>
      <c r="N54" s="215"/>
      <c r="O54" s="119"/>
      <c r="P54" s="359">
        <v>48</v>
      </c>
      <c r="Q54" s="517">
        <f t="shared" ca="1" si="7"/>
        <v>47501</v>
      </c>
      <c r="R54" s="517" t="str">
        <f t="shared" ca="1" si="0"/>
        <v>January 2030</v>
      </c>
      <c r="S54" s="518">
        <f t="shared" si="3"/>
        <v>18909015.888529237</v>
      </c>
      <c r="T54" s="518"/>
      <c r="U54" s="524">
        <f t="shared" si="4"/>
        <v>1937244.4020908568</v>
      </c>
      <c r="V54" s="524">
        <f t="shared" si="5"/>
        <v>935929.79916666588</v>
      </c>
      <c r="W54" s="518">
        <f t="shared" si="6"/>
        <v>13524000</v>
      </c>
      <c r="X54" s="518">
        <f t="shared" si="2"/>
        <v>0</v>
      </c>
      <c r="Y54" s="518">
        <f t="shared" si="1"/>
        <v>8258190.0897867605</v>
      </c>
      <c r="Z54" s="119"/>
    </row>
    <row r="55" spans="2:26" s="120" customFormat="1" ht="46" thickBot="1" x14ac:dyDescent="0.5">
      <c r="B55" s="453"/>
      <c r="C55" s="201"/>
      <c r="D55" s="381"/>
      <c r="E55" s="454"/>
      <c r="F55" s="381"/>
      <c r="G55" s="381"/>
      <c r="H55" s="452"/>
      <c r="I55" s="450"/>
      <c r="J55" s="366"/>
      <c r="K55" s="215"/>
      <c r="L55" s="496"/>
      <c r="M55" s="496"/>
      <c r="N55" s="215"/>
      <c r="O55" s="119"/>
      <c r="P55" s="359">
        <v>49</v>
      </c>
      <c r="Q55" s="517">
        <f t="shared" ca="1" si="7"/>
        <v>47531</v>
      </c>
      <c r="R55" s="517" t="str">
        <f t="shared" ca="1" si="0"/>
        <v>February 2030</v>
      </c>
      <c r="S55" s="518">
        <f t="shared" si="3"/>
        <v>19019318.481212325</v>
      </c>
      <c r="T55" s="518"/>
      <c r="U55" s="524">
        <f t="shared" si="4"/>
        <v>1963388.1054416138</v>
      </c>
      <c r="V55" s="524">
        <f t="shared" si="5"/>
        <v>953587.87999999919</v>
      </c>
      <c r="W55" s="518">
        <f t="shared" si="6"/>
        <v>13524000</v>
      </c>
      <c r="X55" s="518">
        <f t="shared" si="2"/>
        <v>0</v>
      </c>
      <c r="Y55" s="518">
        <f t="shared" si="1"/>
        <v>8412294.4666539393</v>
      </c>
      <c r="Z55" s="119"/>
    </row>
    <row r="56" spans="2:26" s="120" customFormat="1" ht="46" thickBot="1" x14ac:dyDescent="0.5">
      <c r="B56" s="197" t="s">
        <v>160</v>
      </c>
      <c r="C56" s="198"/>
      <c r="D56" s="199">
        <f>E50-I50</f>
        <v>3681000</v>
      </c>
      <c r="E56" s="200"/>
      <c r="F56" s="201"/>
      <c r="G56" s="202" t="s">
        <v>158</v>
      </c>
      <c r="H56" s="203" t="s">
        <v>114</v>
      </c>
      <c r="I56" s="204">
        <f>I17-I28</f>
        <v>17658.080833333333</v>
      </c>
      <c r="J56" s="366"/>
      <c r="K56" s="215"/>
      <c r="L56" s="241" t="s">
        <v>87</v>
      </c>
      <c r="M56" s="243"/>
      <c r="N56" s="215"/>
      <c r="O56" s="119"/>
      <c r="P56" s="359">
        <v>50</v>
      </c>
      <c r="Q56" s="517">
        <f t="shared" ca="1" si="7"/>
        <v>47561</v>
      </c>
      <c r="R56" s="517" t="str">
        <f t="shared" ca="1" si="0"/>
        <v>March 2030</v>
      </c>
      <c r="S56" s="518">
        <f t="shared" si="3"/>
        <v>19130264.505686063</v>
      </c>
      <c r="T56" s="518"/>
      <c r="U56" s="524">
        <f t="shared" si="4"/>
        <v>1989749.6729869605</v>
      </c>
      <c r="V56" s="524">
        <f t="shared" si="5"/>
        <v>971245.9608333325</v>
      </c>
      <c r="W56" s="518">
        <f t="shared" si="6"/>
        <v>13524000</v>
      </c>
      <c r="X56" s="518">
        <f t="shared" si="2"/>
        <v>0</v>
      </c>
      <c r="Y56" s="518">
        <f t="shared" si="1"/>
        <v>8567260.1395063587</v>
      </c>
      <c r="Z56" s="119"/>
    </row>
    <row r="57" spans="2:26" ht="45" x14ac:dyDescent="0.45">
      <c r="B57" s="455"/>
      <c r="C57" s="456"/>
      <c r="D57" s="452"/>
      <c r="E57" s="456"/>
      <c r="F57" s="366"/>
      <c r="G57" s="452"/>
      <c r="H57" s="456"/>
      <c r="I57" s="457"/>
      <c r="J57" s="366"/>
      <c r="K57" s="215"/>
      <c r="L57" s="212" t="s">
        <v>44</v>
      </c>
      <c r="M57" s="223">
        <v>2000</v>
      </c>
      <c r="N57" s="215"/>
      <c r="P57" s="359">
        <v>51</v>
      </c>
      <c r="Q57" s="517">
        <f t="shared" ca="1" si="7"/>
        <v>47591</v>
      </c>
      <c r="R57" s="517" t="str">
        <f t="shared" ca="1" si="0"/>
        <v>April 2030</v>
      </c>
      <c r="S57" s="518">
        <f t="shared" si="3"/>
        <v>19241857.715302564</v>
      </c>
      <c r="T57" s="518"/>
      <c r="U57" s="524">
        <f t="shared" si="4"/>
        <v>2016330.9202618517</v>
      </c>
      <c r="V57" s="524">
        <f t="shared" si="5"/>
        <v>988904.04166666581</v>
      </c>
      <c r="W57" s="518">
        <f t="shared" si="6"/>
        <v>13524000</v>
      </c>
      <c r="X57" s="518">
        <f t="shared" si="2"/>
        <v>0</v>
      </c>
      <c r="Y57" s="518">
        <f t="shared" si="1"/>
        <v>8723092.6772310808</v>
      </c>
    </row>
    <row r="58" spans="2:26" ht="45" x14ac:dyDescent="0.45">
      <c r="B58" s="458" t="s">
        <v>159</v>
      </c>
      <c r="C58" s="459"/>
      <c r="D58" s="460">
        <f>E49-I50</f>
        <v>4101000</v>
      </c>
      <c r="E58" s="459"/>
      <c r="F58" s="366"/>
      <c r="G58" s="461" t="s">
        <v>113</v>
      </c>
      <c r="H58" s="461" t="s">
        <v>115</v>
      </c>
      <c r="I58" s="462">
        <f>I56*12</f>
        <v>211896.97</v>
      </c>
      <c r="J58" s="366"/>
      <c r="K58" s="215"/>
      <c r="L58" s="212" t="s">
        <v>45</v>
      </c>
      <c r="M58" s="223">
        <v>3000</v>
      </c>
      <c r="N58" s="215"/>
      <c r="P58" s="359">
        <v>52</v>
      </c>
      <c r="Q58" s="517">
        <f t="shared" ca="1" si="7"/>
        <v>47621</v>
      </c>
      <c r="R58" s="517" t="str">
        <f t="shared" ca="1" si="0"/>
        <v>May 2030</v>
      </c>
      <c r="S58" s="518">
        <f t="shared" si="3"/>
        <v>19354101.885308497</v>
      </c>
      <c r="T58" s="518"/>
      <c r="U58" s="524">
        <f t="shared" si="4"/>
        <v>2043133.6779307004</v>
      </c>
      <c r="V58" s="524">
        <f t="shared" si="5"/>
        <v>1006562.1224999991</v>
      </c>
      <c r="W58" s="518">
        <f t="shared" si="6"/>
        <v>13524000</v>
      </c>
      <c r="X58" s="518">
        <f t="shared" si="2"/>
        <v>0</v>
      </c>
      <c r="Y58" s="518">
        <f t="shared" si="1"/>
        <v>8879797.6857391968</v>
      </c>
    </row>
    <row r="59" spans="2:26" s="120" customFormat="1" ht="45" x14ac:dyDescent="0.45">
      <c r="B59" s="458" t="s">
        <v>233</v>
      </c>
      <c r="C59" s="459"/>
      <c r="D59" s="460">
        <f>D56-D44</f>
        <v>1781000</v>
      </c>
      <c r="E59" s="459"/>
      <c r="F59" s="366"/>
      <c r="G59" s="461"/>
      <c r="H59" s="461"/>
      <c r="I59" s="462"/>
      <c r="J59" s="366"/>
      <c r="K59" s="215"/>
      <c r="L59" s="212" t="s">
        <v>62</v>
      </c>
      <c r="M59" s="213"/>
      <c r="N59" s="215"/>
      <c r="O59" s="119"/>
      <c r="P59" s="359">
        <v>53</v>
      </c>
      <c r="Q59" s="517">
        <f t="shared" ca="1" si="7"/>
        <v>47651</v>
      </c>
      <c r="R59" s="517" t="str">
        <f t="shared" ca="1" si="0"/>
        <v>June 2030</v>
      </c>
      <c r="S59" s="518">
        <f t="shared" si="3"/>
        <v>19467000.812972795</v>
      </c>
      <c r="T59" s="518"/>
      <c r="U59" s="524">
        <f t="shared" si="4"/>
        <v>2070159.7919134561</v>
      </c>
      <c r="V59" s="524">
        <f t="shared" si="5"/>
        <v>1024220.2033333324</v>
      </c>
      <c r="W59" s="518">
        <f t="shared" si="6"/>
        <v>13524000</v>
      </c>
      <c r="X59" s="518">
        <f t="shared" si="2"/>
        <v>0</v>
      </c>
      <c r="Y59" s="518">
        <f t="shared" si="1"/>
        <v>9037380.8082195856</v>
      </c>
      <c r="Z59" s="119"/>
    </row>
    <row r="60" spans="2:26" s="120" customFormat="1" ht="45" x14ac:dyDescent="0.45">
      <c r="B60" s="455"/>
      <c r="C60" s="201"/>
      <c r="D60" s="452"/>
      <c r="E60" s="452"/>
      <c r="F60" s="201"/>
      <c r="G60" s="381"/>
      <c r="H60" s="452"/>
      <c r="I60" s="457"/>
      <c r="J60" s="366"/>
      <c r="K60" s="215"/>
      <c r="L60" s="212" t="s">
        <v>61</v>
      </c>
      <c r="M60" s="213"/>
      <c r="N60" s="215"/>
      <c r="O60" s="119"/>
      <c r="P60" s="359">
        <v>54</v>
      </c>
      <c r="Q60" s="517">
        <f t="shared" ca="1" si="7"/>
        <v>47681</v>
      </c>
      <c r="R60" s="517" t="str">
        <f t="shared" ca="1" si="0"/>
        <v>July 2030</v>
      </c>
      <c r="S60" s="518">
        <f t="shared" si="3"/>
        <v>19580558.317715138</v>
      </c>
      <c r="T60" s="518"/>
      <c r="U60" s="524">
        <f t="shared" si="4"/>
        <v>2097411.1235127347</v>
      </c>
      <c r="V60" s="524">
        <f t="shared" si="5"/>
        <v>1041878.2841666657</v>
      </c>
      <c r="W60" s="518">
        <f t="shared" si="6"/>
        <v>13524000</v>
      </c>
      <c r="X60" s="518">
        <f t="shared" si="2"/>
        <v>0</v>
      </c>
      <c r="Y60" s="518">
        <f t="shared" si="1"/>
        <v>9195847.7253945395</v>
      </c>
      <c r="Z60" s="119"/>
    </row>
    <row r="61" spans="2:26" s="120" customFormat="1" ht="45" x14ac:dyDescent="0.45">
      <c r="B61" s="451" t="s">
        <v>106</v>
      </c>
      <c r="C61" s="201"/>
      <c r="D61" s="452"/>
      <c r="E61" s="452"/>
      <c r="F61" s="201"/>
      <c r="G61" s="380" t="s">
        <v>1</v>
      </c>
      <c r="H61" s="452"/>
      <c r="I61" s="457"/>
      <c r="J61" s="366"/>
      <c r="K61" s="215"/>
      <c r="L61" s="212"/>
      <c r="M61" s="213"/>
      <c r="N61" s="215"/>
      <c r="O61" s="119"/>
      <c r="P61" s="359">
        <v>55</v>
      </c>
      <c r="Q61" s="517">
        <f t="shared" ca="1" si="7"/>
        <v>47711</v>
      </c>
      <c r="R61" s="517" t="str">
        <f t="shared" ca="1" si="0"/>
        <v>August 2030</v>
      </c>
      <c r="S61" s="518">
        <f t="shared" si="3"/>
        <v>19694778.241235144</v>
      </c>
      <c r="T61" s="518"/>
      <c r="U61" s="524">
        <f t="shared" si="4"/>
        <v>2124889.5495420075</v>
      </c>
      <c r="V61" s="524">
        <f t="shared" si="5"/>
        <v>1059536.3649999991</v>
      </c>
      <c r="W61" s="518">
        <f t="shared" si="6"/>
        <v>13524000</v>
      </c>
      <c r="X61" s="518">
        <f t="shared" si="2"/>
        <v>0</v>
      </c>
      <c r="Y61" s="518">
        <f t="shared" si="1"/>
        <v>9355204.1557771489</v>
      </c>
      <c r="Z61" s="119"/>
    </row>
    <row r="62" spans="2:26" s="120" customFormat="1" ht="45" x14ac:dyDescent="0.45">
      <c r="B62" s="406"/>
      <c r="C62" s="201"/>
      <c r="D62" s="366"/>
      <c r="E62" s="452"/>
      <c r="F62" s="201"/>
      <c r="G62" s="366"/>
      <c r="H62" s="452"/>
      <c r="I62" s="457"/>
      <c r="J62" s="366"/>
      <c r="K62" s="215"/>
      <c r="L62" s="212" t="s">
        <v>85</v>
      </c>
      <c r="M62" s="223">
        <v>0</v>
      </c>
      <c r="N62" s="215"/>
      <c r="O62" s="119"/>
      <c r="P62" s="359">
        <v>56</v>
      </c>
      <c r="Q62" s="517">
        <f t="shared" ca="1" si="7"/>
        <v>47741</v>
      </c>
      <c r="R62" s="517" t="str">
        <f t="shared" ca="1" si="0"/>
        <v>September 2030</v>
      </c>
      <c r="S62" s="518">
        <f t="shared" si="3"/>
        <v>19809664.447642349</v>
      </c>
      <c r="T62" s="518"/>
      <c r="U62" s="524">
        <f t="shared" si="4"/>
        <v>2152596.9624548573</v>
      </c>
      <c r="V62" s="524">
        <f t="shared" si="5"/>
        <v>1077194.4458333324</v>
      </c>
      <c r="W62" s="518">
        <f t="shared" si="6"/>
        <v>13524000</v>
      </c>
      <c r="X62" s="518">
        <f t="shared" si="2"/>
        <v>0</v>
      </c>
      <c r="Y62" s="518">
        <f t="shared" si="1"/>
        <v>9515455.855930537</v>
      </c>
      <c r="Z62" s="119"/>
    </row>
    <row r="63" spans="2:26" s="120" customFormat="1" ht="45" x14ac:dyDescent="0.45">
      <c r="B63" s="463" t="s">
        <v>105</v>
      </c>
      <c r="C63" s="464"/>
      <c r="D63" s="465">
        <f>SUM(I44:I47)</f>
        <v>1522000</v>
      </c>
      <c r="E63" s="464"/>
      <c r="F63" s="201"/>
      <c r="G63" s="195" t="s">
        <v>1</v>
      </c>
      <c r="H63" s="195" t="s">
        <v>114</v>
      </c>
      <c r="I63" s="196">
        <f>H5</f>
        <v>1996.0166666666669</v>
      </c>
      <c r="J63" s="366"/>
      <c r="K63" s="215"/>
      <c r="L63" s="220"/>
      <c r="M63" s="213"/>
      <c r="N63" s="215"/>
      <c r="O63" s="119"/>
      <c r="P63" s="359">
        <v>57</v>
      </c>
      <c r="Q63" s="517">
        <f t="shared" ca="1" si="7"/>
        <v>47771</v>
      </c>
      <c r="R63" s="517" t="str">
        <f t="shared" ca="1" si="0"/>
        <v>October 2030</v>
      </c>
      <c r="S63" s="518">
        <f t="shared" si="3"/>
        <v>19925220.82358693</v>
      </c>
      <c r="T63" s="518"/>
      <c r="U63" s="524">
        <f t="shared" si="4"/>
        <v>2180535.2704753145</v>
      </c>
      <c r="V63" s="524">
        <f t="shared" si="5"/>
        <v>1094852.5266666657</v>
      </c>
      <c r="W63" s="518">
        <f t="shared" si="6"/>
        <v>13524000</v>
      </c>
      <c r="X63" s="518">
        <f t="shared" si="2"/>
        <v>0</v>
      </c>
      <c r="Y63" s="518">
        <f t="shared" si="1"/>
        <v>9676608.62072891</v>
      </c>
      <c r="Z63" s="119"/>
    </row>
    <row r="64" spans="2:26" s="120" customFormat="1" ht="45" x14ac:dyDescent="0.45">
      <c r="B64" s="466"/>
      <c r="C64" s="464"/>
      <c r="D64" s="467"/>
      <c r="E64" s="464"/>
      <c r="F64" s="201"/>
      <c r="G64" s="366"/>
      <c r="H64" s="456"/>
      <c r="I64" s="407"/>
      <c r="J64" s="366"/>
      <c r="K64" s="215"/>
      <c r="L64" s="212" t="s">
        <v>223</v>
      </c>
      <c r="M64" s="223">
        <v>512000</v>
      </c>
      <c r="N64" s="215"/>
      <c r="O64" s="247"/>
      <c r="P64" s="359">
        <v>58</v>
      </c>
      <c r="Q64" s="517">
        <f t="shared" ca="1" si="7"/>
        <v>47801</v>
      </c>
      <c r="R64" s="517" t="str">
        <f t="shared" ca="1" si="0"/>
        <v>November 2030</v>
      </c>
      <c r="S64" s="518">
        <f t="shared" si="3"/>
        <v>20041451.278391186</v>
      </c>
      <c r="T64" s="518">
        <f>$V$4</f>
        <v>3000000</v>
      </c>
      <c r="U64" s="524">
        <f t="shared" si="4"/>
        <v>2208706.3977292753</v>
      </c>
      <c r="V64" s="524">
        <f t="shared" si="5"/>
        <v>1112510.607499999</v>
      </c>
      <c r="W64" s="518">
        <f t="shared" si="6"/>
        <v>13524000</v>
      </c>
      <c r="X64" s="518">
        <f t="shared" si="2"/>
        <v>3000000</v>
      </c>
      <c r="Y64" s="518">
        <f t="shared" si="1"/>
        <v>12838668.283620458</v>
      </c>
      <c r="Z64" s="119"/>
    </row>
    <row r="65" spans="2:26" s="120" customFormat="1" ht="45" x14ac:dyDescent="0.45">
      <c r="B65" s="463" t="s">
        <v>100</v>
      </c>
      <c r="C65" s="464"/>
      <c r="D65" s="465">
        <f>SUM(E44:E47)</f>
        <v>4175000</v>
      </c>
      <c r="E65" s="464"/>
      <c r="F65" s="201"/>
      <c r="G65" s="195" t="s">
        <v>126</v>
      </c>
      <c r="H65" s="195" t="s">
        <v>114</v>
      </c>
      <c r="I65" s="196">
        <f>I28-H5</f>
        <v>12939.235833333332</v>
      </c>
      <c r="J65" s="366"/>
      <c r="K65" s="215"/>
      <c r="L65" s="212" t="s">
        <v>224</v>
      </c>
      <c r="M65" s="223">
        <v>230000</v>
      </c>
      <c r="N65" s="215"/>
      <c r="O65" s="363"/>
      <c r="P65" s="359">
        <v>59</v>
      </c>
      <c r="Q65" s="517">
        <f t="shared" ca="1" si="7"/>
        <v>47831</v>
      </c>
      <c r="R65" s="517" t="str">
        <f t="shared" ca="1" si="0"/>
        <v>December 2030</v>
      </c>
      <c r="S65" s="518">
        <f t="shared" si="3"/>
        <v>23158359.744181801</v>
      </c>
      <c r="T65" s="518"/>
      <c r="U65" s="524">
        <f t="shared" si="4"/>
        <v>2237112.2843770194</v>
      </c>
      <c r="V65" s="524">
        <f t="shared" si="5"/>
        <v>1130168.6883333323</v>
      </c>
      <c r="W65" s="518">
        <f t="shared" si="6"/>
        <v>16524000</v>
      </c>
      <c r="X65" s="518">
        <f t="shared" si="2"/>
        <v>0</v>
      </c>
      <c r="Y65" s="518">
        <f t="shared" si="1"/>
        <v>10001640.716892153</v>
      </c>
      <c r="Z65" s="119"/>
    </row>
    <row r="66" spans="2:26" ht="45" x14ac:dyDescent="0.45">
      <c r="B66" s="466"/>
      <c r="C66" s="464"/>
      <c r="D66" s="467"/>
      <c r="E66" s="464"/>
      <c r="F66" s="201"/>
      <c r="G66" s="456"/>
      <c r="H66" s="456"/>
      <c r="I66" s="468"/>
      <c r="J66" s="366"/>
      <c r="K66" s="215"/>
      <c r="L66" s="212" t="s">
        <v>225</v>
      </c>
      <c r="M66" s="223">
        <v>780000</v>
      </c>
      <c r="N66" s="215"/>
      <c r="O66" s="363"/>
      <c r="P66" s="359">
        <v>60</v>
      </c>
      <c r="Q66" s="517">
        <f ca="1">Q65+30</f>
        <v>47861</v>
      </c>
      <c r="R66" s="517" t="str">
        <f t="shared" ca="1" si="0"/>
        <v>January 2031</v>
      </c>
      <c r="S66" s="518">
        <f t="shared" si="3"/>
        <v>23293450.176022861</v>
      </c>
      <c r="T66" s="518"/>
      <c r="U66" s="524">
        <f t="shared" si="4"/>
        <v>2265754.886746828</v>
      </c>
      <c r="V66" s="524">
        <f t="shared" si="5"/>
        <v>1147826.7691666656</v>
      </c>
      <c r="W66" s="518">
        <f t="shared" si="6"/>
        <v>16524000</v>
      </c>
      <c r="X66" s="518">
        <f t="shared" si="2"/>
        <v>0</v>
      </c>
      <c r="Y66" s="518">
        <f t="shared" si="1"/>
        <v>10183031.831936356</v>
      </c>
    </row>
    <row r="67" spans="2:26" ht="46" thickBot="1" x14ac:dyDescent="0.5">
      <c r="B67" s="463" t="s">
        <v>101</v>
      </c>
      <c r="C67" s="464"/>
      <c r="D67" s="469">
        <f>SUM(D44:D47)</f>
        <v>2653000</v>
      </c>
      <c r="E67" s="464"/>
      <c r="F67" s="366"/>
      <c r="G67" s="195" t="s">
        <v>125</v>
      </c>
      <c r="H67" s="195"/>
      <c r="I67" s="196">
        <f>I65*12/0.08</f>
        <v>1940885.3749999998</v>
      </c>
      <c r="J67" s="366"/>
      <c r="K67" s="215"/>
      <c r="L67" s="221"/>
      <c r="M67" s="222"/>
      <c r="N67" s="215"/>
      <c r="Q67" s="517"/>
      <c r="R67" s="517"/>
      <c r="S67" s="518"/>
      <c r="T67" s="518"/>
      <c r="U67" s="518"/>
      <c r="V67" s="518"/>
      <c r="W67" s="518"/>
      <c r="X67" s="518"/>
    </row>
    <row r="68" spans="2:26" ht="45" x14ac:dyDescent="0.45">
      <c r="B68" s="470"/>
      <c r="C68" s="464"/>
      <c r="D68" s="469"/>
      <c r="E68" s="464"/>
      <c r="F68" s="366"/>
      <c r="G68" s="380" t="s">
        <v>181</v>
      </c>
      <c r="H68" s="452"/>
      <c r="I68" s="471"/>
      <c r="J68" s="366"/>
      <c r="K68" s="215"/>
      <c r="L68" s="496"/>
      <c r="M68" s="215"/>
      <c r="N68" s="215"/>
    </row>
    <row r="69" spans="2:26" ht="45" x14ac:dyDescent="0.45">
      <c r="B69" s="463" t="s">
        <v>29</v>
      </c>
      <c r="C69" s="464"/>
      <c r="D69" s="472">
        <f>D63/D65</f>
        <v>0.36455089820359282</v>
      </c>
      <c r="E69" s="464"/>
      <c r="F69" s="366"/>
      <c r="G69" s="366"/>
      <c r="H69" s="452"/>
      <c r="I69" s="473"/>
      <c r="J69" s="366"/>
    </row>
    <row r="70" spans="2:26" ht="45" x14ac:dyDescent="0.45">
      <c r="B70" s="463"/>
      <c r="C70" s="464"/>
      <c r="D70" s="474"/>
      <c r="E70" s="464"/>
      <c r="F70" s="366"/>
      <c r="G70" s="380" t="s">
        <v>116</v>
      </c>
      <c r="H70" s="452"/>
      <c r="I70" s="407"/>
      <c r="J70" s="366"/>
      <c r="L70" s="119"/>
      <c r="M70" s="120"/>
    </row>
    <row r="71" spans="2:26" ht="45" x14ac:dyDescent="0.45">
      <c r="B71" s="463" t="s">
        <v>121</v>
      </c>
      <c r="C71" s="464"/>
      <c r="D71" s="469">
        <f>(80%-D69)*D65</f>
        <v>1818000.0000000002</v>
      </c>
      <c r="E71" s="464"/>
      <c r="F71" s="366"/>
      <c r="G71" s="380"/>
      <c r="H71" s="452"/>
      <c r="I71" s="407"/>
      <c r="J71" s="366"/>
      <c r="L71" s="247"/>
      <c r="M71" s="120"/>
    </row>
    <row r="72" spans="2:26" ht="47" x14ac:dyDescent="0.45">
      <c r="B72" s="463"/>
      <c r="C72" s="464"/>
      <c r="D72" s="474"/>
      <c r="E72" s="464"/>
      <c r="F72" s="366"/>
      <c r="G72" s="629" t="s">
        <v>162</v>
      </c>
      <c r="H72" s="630"/>
      <c r="I72" s="477">
        <f>SUM(E34:E35)</f>
        <v>106000</v>
      </c>
      <c r="J72" s="366"/>
      <c r="L72" s="246"/>
      <c r="M72" s="248"/>
    </row>
    <row r="73" spans="2:26" ht="45" x14ac:dyDescent="0.45">
      <c r="B73" s="451"/>
      <c r="C73" s="366"/>
      <c r="D73" s="366"/>
      <c r="E73" s="452"/>
      <c r="F73" s="366"/>
      <c r="G73" s="475" t="s">
        <v>163</v>
      </c>
      <c r="H73" s="475"/>
      <c r="I73" s="477">
        <f>SUM(E37:E39)</f>
        <v>924000</v>
      </c>
      <c r="J73" s="366"/>
      <c r="L73" s="246"/>
    </row>
    <row r="74" spans="2:26" ht="45" x14ac:dyDescent="0.45">
      <c r="B74" s="451" t="s">
        <v>111</v>
      </c>
      <c r="C74" s="366"/>
      <c r="D74" s="366"/>
      <c r="E74" s="452"/>
      <c r="F74" s="366"/>
      <c r="G74" s="464" t="s">
        <v>154</v>
      </c>
      <c r="H74" s="464"/>
      <c r="I74" s="478">
        <f>SUM(I72:I73)</f>
        <v>1030000</v>
      </c>
      <c r="J74" s="366"/>
      <c r="L74" s="246"/>
    </row>
    <row r="75" spans="2:26" ht="45" x14ac:dyDescent="0.45">
      <c r="B75" s="406"/>
      <c r="C75" s="366"/>
      <c r="D75" s="366"/>
      <c r="E75" s="452"/>
      <c r="F75" s="366"/>
      <c r="G75" s="366"/>
      <c r="H75" s="452"/>
      <c r="I75" s="407"/>
      <c r="J75" s="366"/>
      <c r="L75" s="119"/>
    </row>
    <row r="76" spans="2:26" ht="45" x14ac:dyDescent="0.45">
      <c r="B76" s="479" t="s">
        <v>128</v>
      </c>
      <c r="C76" s="480"/>
      <c r="D76" s="481">
        <f>D79-D63</f>
        <v>884504.95566662773</v>
      </c>
      <c r="E76" s="480"/>
      <c r="F76" s="366"/>
      <c r="G76" s="380" t="s">
        <v>127</v>
      </c>
      <c r="H76" s="452"/>
      <c r="I76" s="407"/>
      <c r="J76" s="366"/>
      <c r="L76" s="247"/>
      <c r="M76" s="120"/>
    </row>
    <row r="77" spans="2:26" ht="45" x14ac:dyDescent="0.45">
      <c r="B77" s="451" t="s">
        <v>112</v>
      </c>
      <c r="C77" s="366"/>
      <c r="D77" s="366"/>
      <c r="E77" s="452"/>
      <c r="F77" s="366"/>
      <c r="G77" s="201"/>
      <c r="H77" s="452"/>
      <c r="I77" s="407"/>
      <c r="J77" s="366"/>
      <c r="L77" s="246"/>
      <c r="M77" s="248"/>
    </row>
    <row r="78" spans="2:26" ht="47" x14ac:dyDescent="0.45">
      <c r="B78" s="451"/>
      <c r="C78" s="366"/>
      <c r="D78" s="366"/>
      <c r="E78" s="380"/>
      <c r="F78" s="366"/>
      <c r="G78" s="615" t="s">
        <v>165</v>
      </c>
      <c r="H78" s="616"/>
      <c r="I78" s="483">
        <f>SUM(E34:E39)/(I28-H5)</f>
        <v>79.602846201053993</v>
      </c>
      <c r="J78" s="366"/>
      <c r="L78" s="246"/>
    </row>
    <row r="79" spans="2:26" ht="47" x14ac:dyDescent="0.45">
      <c r="B79" s="479" t="s">
        <v>117</v>
      </c>
      <c r="C79" s="480"/>
      <c r="D79" s="481">
        <f>PV(8%/12,30*12,H22,0)*-1</f>
        <v>2406504.9556666277</v>
      </c>
      <c r="E79" s="480"/>
      <c r="F79" s="366"/>
      <c r="G79" s="615" t="s">
        <v>166</v>
      </c>
      <c r="H79" s="616"/>
      <c r="I79" s="483">
        <f>SUM(E34:E39)/(I28-H5)/12</f>
        <v>6.6335705167544994</v>
      </c>
      <c r="J79" s="366"/>
      <c r="L79" s="246"/>
    </row>
    <row r="80" spans="2:26" ht="47" x14ac:dyDescent="0.45">
      <c r="B80" s="451" t="s">
        <v>153</v>
      </c>
      <c r="C80" s="366"/>
      <c r="D80" s="452"/>
      <c r="E80" s="380"/>
      <c r="F80" s="366"/>
      <c r="G80" s="615" t="s">
        <v>161</v>
      </c>
      <c r="H80" s="616"/>
      <c r="I80" s="483">
        <f>H22/(I28-H5)</f>
        <v>1.364692711438459</v>
      </c>
      <c r="J80" s="366"/>
    </row>
    <row r="81" spans="2:10" ht="46" thickBot="1" x14ac:dyDescent="0.5">
      <c r="B81" s="484"/>
      <c r="C81" s="485"/>
      <c r="D81" s="486"/>
      <c r="E81" s="487"/>
      <c r="F81" s="485"/>
      <c r="G81" s="485"/>
      <c r="H81" s="485"/>
      <c r="I81" s="488"/>
      <c r="J81" s="366"/>
    </row>
    <row r="82" spans="2:10" ht="45" x14ac:dyDescent="0.45">
      <c r="B82" s="366"/>
      <c r="C82" s="366"/>
      <c r="D82" s="452"/>
      <c r="E82" s="201"/>
      <c r="F82" s="366"/>
      <c r="G82" s="366"/>
      <c r="H82" s="366"/>
      <c r="I82" s="416"/>
      <c r="J82" s="366"/>
    </row>
    <row r="83" spans="2:10" x14ac:dyDescent="0.35">
      <c r="D83" s="364"/>
      <c r="E83" s="361"/>
      <c r="F83" s="364"/>
      <c r="G83" s="364"/>
      <c r="H83" s="364"/>
    </row>
    <row r="84" spans="2:10" x14ac:dyDescent="0.35">
      <c r="B84" s="120"/>
      <c r="C84" s="120"/>
      <c r="D84" s="501"/>
      <c r="F84" s="364"/>
      <c r="G84" s="364"/>
      <c r="H84" s="364"/>
    </row>
    <row r="85" spans="2:10" x14ac:dyDescent="0.35">
      <c r="B85" s="502" t="s">
        <v>197</v>
      </c>
      <c r="C85" s="503"/>
      <c r="D85" s="504"/>
      <c r="E85" s="505"/>
      <c r="F85" s="364"/>
      <c r="G85" s="360" t="s">
        <v>209</v>
      </c>
      <c r="H85" s="364"/>
    </row>
    <row r="86" spans="2:10" x14ac:dyDescent="0.35">
      <c r="B86" s="120" t="s">
        <v>189</v>
      </c>
      <c r="C86" s="120"/>
      <c r="D86" s="501">
        <v>0</v>
      </c>
      <c r="F86" s="364"/>
      <c r="G86" s="506">
        <f>D113</f>
        <v>88055.23</v>
      </c>
      <c r="H86" s="364"/>
    </row>
    <row r="87" spans="2:10" x14ac:dyDescent="0.35">
      <c r="B87" s="120" t="s">
        <v>226</v>
      </c>
      <c r="C87" s="120"/>
      <c r="D87" s="501">
        <f>M30</f>
        <v>875.73250000000007</v>
      </c>
      <c r="F87" s="364"/>
      <c r="G87" s="364"/>
      <c r="H87" s="364"/>
    </row>
    <row r="88" spans="2:10" x14ac:dyDescent="0.35">
      <c r="B88" s="120" t="s">
        <v>190</v>
      </c>
      <c r="C88" s="120"/>
      <c r="D88" s="501">
        <f>M31</f>
        <v>2120</v>
      </c>
      <c r="F88" s="364"/>
      <c r="G88" s="360" t="s">
        <v>210</v>
      </c>
      <c r="H88" s="364"/>
    </row>
    <row r="89" spans="2:10" x14ac:dyDescent="0.35">
      <c r="B89" s="120" t="s">
        <v>191</v>
      </c>
      <c r="D89" s="501">
        <v>500</v>
      </c>
      <c r="G89" s="120" t="s">
        <v>178</v>
      </c>
      <c r="H89" s="501">
        <f>SUM(M40:M41)</f>
        <v>106000</v>
      </c>
    </row>
    <row r="90" spans="2:10" x14ac:dyDescent="0.35">
      <c r="B90" s="120" t="s">
        <v>192</v>
      </c>
      <c r="D90" s="501">
        <v>500</v>
      </c>
      <c r="G90" s="120" t="s">
        <v>124</v>
      </c>
      <c r="H90" s="501">
        <f>SUM(M43:M45)</f>
        <v>924000</v>
      </c>
    </row>
    <row r="91" spans="2:10" x14ac:dyDescent="0.35">
      <c r="B91" s="120" t="s">
        <v>193</v>
      </c>
      <c r="C91" s="120"/>
      <c r="D91" s="501">
        <f>M33</f>
        <v>1514.7033333333331</v>
      </c>
      <c r="F91" s="364"/>
      <c r="G91" s="120" t="s">
        <v>211</v>
      </c>
      <c r="H91" s="501">
        <f>SUM(D45:D47)</f>
        <v>753000</v>
      </c>
      <c r="I91" s="120" t="s">
        <v>212</v>
      </c>
    </row>
    <row r="92" spans="2:10" x14ac:dyDescent="0.35">
      <c r="B92" s="120"/>
      <c r="C92" s="120"/>
      <c r="D92" s="501"/>
      <c r="F92" s="364"/>
      <c r="G92" s="120"/>
      <c r="H92" s="501"/>
    </row>
    <row r="93" spans="2:10" x14ac:dyDescent="0.35">
      <c r="B93" s="120"/>
      <c r="C93" s="120"/>
      <c r="D93" s="501"/>
      <c r="F93" s="364"/>
      <c r="G93" s="293" t="s">
        <v>215</v>
      </c>
      <c r="H93" s="507">
        <f>SUM(H89:H92)</f>
        <v>1783000</v>
      </c>
    </row>
    <row r="94" spans="2:10" x14ac:dyDescent="0.35">
      <c r="B94" s="120" t="s">
        <v>194</v>
      </c>
      <c r="C94" s="120"/>
      <c r="D94" s="501">
        <f>SUM(D86:D93)</f>
        <v>5510.435833333333</v>
      </c>
      <c r="F94" s="364"/>
      <c r="G94" s="293" t="s">
        <v>232</v>
      </c>
      <c r="H94" s="501"/>
    </row>
    <row r="95" spans="2:10" x14ac:dyDescent="0.35">
      <c r="B95" s="120" t="s">
        <v>195</v>
      </c>
      <c r="C95" s="120"/>
      <c r="D95" s="501">
        <f>D94*12</f>
        <v>66125.23</v>
      </c>
      <c r="F95" s="364"/>
      <c r="G95" s="120"/>
      <c r="H95" s="501"/>
    </row>
    <row r="96" spans="2:10" x14ac:dyDescent="0.35">
      <c r="B96" s="293" t="s">
        <v>196</v>
      </c>
      <c r="C96" s="293"/>
      <c r="D96" s="507">
        <f>D95/0.06</f>
        <v>1102087.1666666667</v>
      </c>
      <c r="F96" s="364"/>
      <c r="G96" s="364"/>
      <c r="H96" s="364"/>
    </row>
    <row r="97" spans="2:8" x14ac:dyDescent="0.35">
      <c r="B97" s="120"/>
      <c r="C97" s="120"/>
      <c r="D97" s="501"/>
      <c r="F97" s="364"/>
      <c r="G97" s="364"/>
      <c r="H97" s="364"/>
    </row>
    <row r="98" spans="2:8" x14ac:dyDescent="0.35">
      <c r="B98" s="508" t="s">
        <v>198</v>
      </c>
      <c r="C98" s="509"/>
      <c r="D98" s="510"/>
      <c r="E98" s="505"/>
      <c r="F98" s="364"/>
      <c r="G98" s="364"/>
      <c r="H98" s="364"/>
    </row>
    <row r="99" spans="2:8" x14ac:dyDescent="0.35">
      <c r="B99" s="120" t="s">
        <v>227</v>
      </c>
      <c r="C99" s="120"/>
      <c r="D99" s="501">
        <f>M36/2</f>
        <v>550</v>
      </c>
      <c r="F99" s="364"/>
      <c r="G99" s="364"/>
      <c r="H99" s="364"/>
    </row>
    <row r="100" spans="2:8" x14ac:dyDescent="0.35">
      <c r="B100" s="120" t="s">
        <v>229</v>
      </c>
      <c r="D100" s="501">
        <f>M34/2</f>
        <v>550</v>
      </c>
      <c r="F100" s="364"/>
      <c r="G100" s="364"/>
      <c r="H100" s="364"/>
    </row>
    <row r="101" spans="2:8" x14ac:dyDescent="0.35">
      <c r="B101" s="120" t="s">
        <v>230</v>
      </c>
      <c r="D101" s="501">
        <f>M33/2</f>
        <v>757.35166666666657</v>
      </c>
      <c r="F101" s="364"/>
      <c r="G101" s="364"/>
      <c r="H101" s="364"/>
    </row>
    <row r="102" spans="2:8" x14ac:dyDescent="0.35">
      <c r="B102" s="120" t="s">
        <v>231</v>
      </c>
      <c r="C102" s="120"/>
      <c r="D102" s="501">
        <f>D94</f>
        <v>5510.435833333333</v>
      </c>
      <c r="F102" s="364"/>
      <c r="G102" s="364"/>
      <c r="H102" s="364"/>
    </row>
    <row r="103" spans="2:8" x14ac:dyDescent="0.35">
      <c r="B103" s="120"/>
      <c r="C103" s="120"/>
      <c r="D103" s="501"/>
      <c r="F103" s="364"/>
      <c r="G103" s="364"/>
      <c r="H103" s="364"/>
    </row>
    <row r="104" spans="2:8" x14ac:dyDescent="0.35">
      <c r="B104" s="120"/>
      <c r="C104" s="120"/>
      <c r="D104" s="501"/>
      <c r="F104" s="364"/>
      <c r="G104" s="364"/>
      <c r="H104" s="364"/>
    </row>
    <row r="105" spans="2:8" x14ac:dyDescent="0.35">
      <c r="B105" s="120" t="s">
        <v>194</v>
      </c>
      <c r="C105" s="120"/>
      <c r="D105" s="501">
        <f>SUM(D99:D103)</f>
        <v>7367.7874999999995</v>
      </c>
      <c r="F105" s="364"/>
      <c r="G105" s="364"/>
      <c r="H105" s="364"/>
    </row>
    <row r="106" spans="2:8" x14ac:dyDescent="0.35">
      <c r="B106" s="120" t="s">
        <v>195</v>
      </c>
      <c r="C106" s="120"/>
      <c r="D106" s="501">
        <f>D105*12</f>
        <v>88413.45</v>
      </c>
      <c r="F106" s="364"/>
      <c r="G106" s="364"/>
      <c r="H106" s="364"/>
    </row>
    <row r="107" spans="2:8" x14ac:dyDescent="0.35">
      <c r="B107" s="293" t="s">
        <v>204</v>
      </c>
      <c r="C107" s="293"/>
      <c r="D107" s="507">
        <f>D106/0.06</f>
        <v>1473557.5</v>
      </c>
      <c r="F107" s="364"/>
      <c r="G107" s="364"/>
      <c r="H107" s="364"/>
    </row>
    <row r="108" spans="2:8" x14ac:dyDescent="0.35">
      <c r="B108" s="120"/>
      <c r="C108" s="120"/>
      <c r="D108" s="501"/>
      <c r="F108" s="364"/>
      <c r="G108" s="364"/>
      <c r="H108" s="364"/>
    </row>
    <row r="109" spans="2:8" x14ac:dyDescent="0.35">
      <c r="B109" s="511" t="s">
        <v>199</v>
      </c>
      <c r="C109" s="512"/>
      <c r="D109" s="513"/>
      <c r="E109" s="505"/>
      <c r="F109" s="364"/>
      <c r="G109" s="364"/>
      <c r="H109" s="364"/>
    </row>
    <row r="110" spans="2:8" x14ac:dyDescent="0.35">
      <c r="B110" s="120" t="s">
        <v>228</v>
      </c>
      <c r="C110" s="120"/>
      <c r="D110" s="501">
        <f>M28</f>
        <v>7337.935833333333</v>
      </c>
      <c r="F110" s="364"/>
      <c r="G110" s="364"/>
      <c r="H110" s="364"/>
    </row>
    <row r="111" spans="2:8" x14ac:dyDescent="0.35">
      <c r="B111" s="120"/>
      <c r="C111" s="120"/>
      <c r="D111" s="501"/>
      <c r="F111" s="364"/>
      <c r="G111" s="364"/>
      <c r="H111" s="364"/>
    </row>
    <row r="112" spans="2:8" x14ac:dyDescent="0.35">
      <c r="B112" s="120" t="s">
        <v>194</v>
      </c>
      <c r="C112" s="120"/>
      <c r="D112" s="501">
        <f>SUM(D110:D110)</f>
        <v>7337.935833333333</v>
      </c>
      <c r="F112" s="364"/>
      <c r="G112" s="364"/>
      <c r="H112" s="364"/>
    </row>
    <row r="113" spans="2:8" x14ac:dyDescent="0.35">
      <c r="B113" s="120" t="s">
        <v>195</v>
      </c>
      <c r="C113" s="120"/>
      <c r="D113" s="501">
        <f>D112*12</f>
        <v>88055.23</v>
      </c>
      <c r="F113" s="364"/>
      <c r="G113" s="364"/>
      <c r="H113" s="364"/>
    </row>
    <row r="114" spans="2:8" x14ac:dyDescent="0.35">
      <c r="B114" s="293" t="s">
        <v>205</v>
      </c>
      <c r="C114" s="293"/>
      <c r="D114" s="507">
        <f>D113/0.06</f>
        <v>1467587.1666666667</v>
      </c>
      <c r="F114" s="364"/>
      <c r="G114" s="364"/>
      <c r="H114" s="364"/>
    </row>
    <row r="115" spans="2:8" x14ac:dyDescent="0.35">
      <c r="B115" s="120"/>
      <c r="C115" s="120"/>
      <c r="D115" s="364"/>
      <c r="F115" s="364"/>
      <c r="G115" s="364"/>
      <c r="H115" s="364"/>
    </row>
    <row r="116" spans="2:8" x14ac:dyDescent="0.35">
      <c r="B116" s="514" t="s">
        <v>200</v>
      </c>
      <c r="C116" s="515"/>
      <c r="D116" s="516"/>
      <c r="F116" s="364"/>
      <c r="G116" s="364"/>
      <c r="H116" s="364"/>
    </row>
    <row r="117" spans="2:8" x14ac:dyDescent="0.35">
      <c r="B117" s="120" t="s">
        <v>201</v>
      </c>
      <c r="C117" s="120"/>
      <c r="D117" s="501">
        <f>D112</f>
        <v>7337.935833333333</v>
      </c>
      <c r="F117" s="364"/>
      <c r="G117" s="364"/>
      <c r="H117" s="364"/>
    </row>
    <row r="118" spans="2:8" x14ac:dyDescent="0.35">
      <c r="B118" s="120" t="s">
        <v>203</v>
      </c>
      <c r="C118" s="120"/>
      <c r="D118" s="501">
        <v>8000</v>
      </c>
      <c r="F118" s="364"/>
      <c r="G118" s="364"/>
      <c r="H118" s="364"/>
    </row>
    <row r="119" spans="2:8" x14ac:dyDescent="0.35">
      <c r="B119" s="120" t="s">
        <v>216</v>
      </c>
      <c r="C119" s="120"/>
      <c r="D119" s="501">
        <v>2000</v>
      </c>
      <c r="F119" s="364"/>
      <c r="G119" s="364"/>
      <c r="H119" s="364"/>
    </row>
    <row r="120" spans="2:8" x14ac:dyDescent="0.35">
      <c r="B120" s="120" t="s">
        <v>202</v>
      </c>
      <c r="D120" s="501">
        <v>2000</v>
      </c>
      <c r="F120" s="364"/>
      <c r="G120" s="364"/>
      <c r="H120" s="364"/>
    </row>
    <row r="121" spans="2:8" x14ac:dyDescent="0.35">
      <c r="B121" s="120" t="s">
        <v>208</v>
      </c>
      <c r="D121" s="501">
        <v>27000</v>
      </c>
      <c r="F121" s="364"/>
      <c r="G121" s="364"/>
      <c r="H121" s="364"/>
    </row>
    <row r="122" spans="2:8" x14ac:dyDescent="0.35">
      <c r="B122" s="120" t="s">
        <v>207</v>
      </c>
      <c r="C122" s="120"/>
      <c r="D122" s="501">
        <v>10000</v>
      </c>
      <c r="F122" s="364"/>
      <c r="G122" s="364"/>
      <c r="H122" s="364"/>
    </row>
    <row r="123" spans="2:8" x14ac:dyDescent="0.35">
      <c r="B123" s="120"/>
      <c r="C123" s="120"/>
      <c r="D123" s="501"/>
      <c r="F123" s="364"/>
      <c r="G123" s="364"/>
      <c r="H123" s="364"/>
    </row>
    <row r="124" spans="2:8" x14ac:dyDescent="0.35">
      <c r="B124" s="120" t="s">
        <v>194</v>
      </c>
      <c r="C124" s="120"/>
      <c r="D124" s="501">
        <f>SUM(D117:D122)</f>
        <v>56337.935833333337</v>
      </c>
      <c r="F124" s="364"/>
      <c r="G124" s="364"/>
      <c r="H124" s="364"/>
    </row>
    <row r="125" spans="2:8" x14ac:dyDescent="0.35">
      <c r="B125" s="120" t="s">
        <v>195</v>
      </c>
      <c r="C125" s="120"/>
      <c r="D125" s="501">
        <f>D124*12</f>
        <v>676055.23</v>
      </c>
      <c r="F125" s="364"/>
      <c r="G125" s="364"/>
      <c r="H125" s="364"/>
    </row>
    <row r="126" spans="2:8" x14ac:dyDescent="0.35">
      <c r="B126" s="293" t="s">
        <v>206</v>
      </c>
      <c r="C126" s="293"/>
      <c r="D126" s="507">
        <f>D125/0.05</f>
        <v>13521104.6</v>
      </c>
    </row>
  </sheetData>
  <mergeCells count="8">
    <mergeCell ref="G79:H79"/>
    <mergeCell ref="G80:H80"/>
    <mergeCell ref="B2:I2"/>
    <mergeCell ref="L2:M2"/>
    <mergeCell ref="B30:I30"/>
    <mergeCell ref="B52:I52"/>
    <mergeCell ref="G72:H72"/>
    <mergeCell ref="G78:H7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D549-11D8-3E43-ACB6-C7E3A90D283C}">
  <dimension ref="B1:AI137"/>
  <sheetViews>
    <sheetView showGridLines="0" topLeftCell="D20" zoomScale="50" zoomScaleNormal="50" workbookViewId="0">
      <selection activeCell="M64" sqref="M64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9953</v>
      </c>
      <c r="I5" s="377">
        <f>H5*12</f>
        <v>119436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4205000</v>
      </c>
      <c r="T7" s="252"/>
      <c r="U7" s="252">
        <f>SUM(E41:E43)</f>
        <v>1044000</v>
      </c>
      <c r="V7" s="252">
        <f>$E$38</f>
        <v>6000</v>
      </c>
      <c r="W7" s="252">
        <f>$I$57</f>
        <v>1480000</v>
      </c>
      <c r="X7" s="252">
        <f>T7</f>
        <v>0</v>
      </c>
      <c r="Y7" s="252">
        <f t="shared" ref="Y7:Y66" si="1">SUM(S7:V7)-W7</f>
        <v>3775000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4229529.166666667</v>
      </c>
      <c r="T8" s="252"/>
      <c r="U8" s="254">
        <f>($V$2/12+1)*U7+$V$3</f>
        <v>1062700</v>
      </c>
      <c r="V8" s="254">
        <f>V7+$I$65</f>
        <v>22020.497500000001</v>
      </c>
      <c r="W8" s="252">
        <f>W7+X7</f>
        <v>1480000</v>
      </c>
      <c r="X8" s="252">
        <f t="shared" ref="X8:X66" si="2">T8</f>
        <v>0</v>
      </c>
      <c r="Y8" s="252">
        <f t="shared" si="1"/>
        <v>3834249.6641666666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4254201.420138889</v>
      </c>
      <c r="T9" s="252"/>
      <c r="U9" s="254">
        <f t="shared" ref="U9:U66" si="4">($V$2/12+1)*U8+$V$3</f>
        <v>1081555.8333333333</v>
      </c>
      <c r="V9" s="254">
        <f t="shared" ref="V9:V66" si="5">V8+$I$65</f>
        <v>38040.995000000003</v>
      </c>
      <c r="W9" s="252">
        <f t="shared" ref="W9:W66" si="6">W8+X8</f>
        <v>1480000</v>
      </c>
      <c r="X9" s="252">
        <f t="shared" si="2"/>
        <v>0</v>
      </c>
      <c r="Y9" s="252">
        <f t="shared" si="1"/>
        <v>3893798.2484722221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4279017.5950896991</v>
      </c>
      <c r="T10" s="252"/>
      <c r="U10" s="254">
        <f t="shared" si="4"/>
        <v>1100568.798611111</v>
      </c>
      <c r="V10" s="254">
        <f t="shared" si="5"/>
        <v>54061.492500000008</v>
      </c>
      <c r="W10" s="252">
        <f t="shared" si="6"/>
        <v>1480000</v>
      </c>
      <c r="X10" s="252">
        <f t="shared" si="2"/>
        <v>0</v>
      </c>
      <c r="Y10" s="252">
        <f t="shared" si="1"/>
        <v>3953647.8862008099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4303978.5310610561</v>
      </c>
      <c r="T11" s="252"/>
      <c r="U11" s="254">
        <f t="shared" si="4"/>
        <v>1119740.2052662035</v>
      </c>
      <c r="V11" s="254">
        <f t="shared" si="5"/>
        <v>70081.990000000005</v>
      </c>
      <c r="W11" s="252">
        <f t="shared" si="6"/>
        <v>1480000</v>
      </c>
      <c r="X11" s="252">
        <f t="shared" si="2"/>
        <v>0</v>
      </c>
      <c r="Y11" s="252">
        <f t="shared" si="1"/>
        <v>4013800.72632726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4329085.0724922456</v>
      </c>
      <c r="T12" s="252"/>
      <c r="U12" s="254">
        <f t="shared" si="4"/>
        <v>1139071.3736434218</v>
      </c>
      <c r="V12" s="254">
        <f t="shared" si="5"/>
        <v>86102.487500000003</v>
      </c>
      <c r="W12" s="252">
        <f t="shared" si="6"/>
        <v>1480000</v>
      </c>
      <c r="X12" s="252">
        <f t="shared" si="2"/>
        <v>0</v>
      </c>
      <c r="Y12" s="252">
        <f t="shared" si="1"/>
        <v>4074258.933635667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4354338.0687484508</v>
      </c>
      <c r="T13" s="252"/>
      <c r="U13" s="254">
        <f t="shared" si="4"/>
        <v>1158563.6350904503</v>
      </c>
      <c r="V13" s="254">
        <f t="shared" si="5"/>
        <v>102122.985</v>
      </c>
      <c r="W13" s="252">
        <f t="shared" si="6"/>
        <v>1480000</v>
      </c>
      <c r="X13" s="252">
        <f t="shared" si="2"/>
        <v>0</v>
      </c>
      <c r="Y13" s="252">
        <f t="shared" si="1"/>
        <v>4135024.6888389019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-476.32666666666637</v>
      </c>
      <c r="F14" s="391"/>
      <c r="G14" s="544" t="s">
        <v>68</v>
      </c>
      <c r="H14" s="539">
        <f>C14/E49</f>
        <v>3.2239999999999998E-2</v>
      </c>
      <c r="I14" s="542">
        <f>(D14-M29)/E49*12</f>
        <v>2.4952879999999997E-2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4379738.3741494836</v>
      </c>
      <c r="T14" s="252"/>
      <c r="U14" s="254">
        <f t="shared" si="4"/>
        <v>1178218.3320495375</v>
      </c>
      <c r="V14" s="254">
        <f t="shared" si="5"/>
        <v>118143.4825</v>
      </c>
      <c r="W14" s="252">
        <f t="shared" si="6"/>
        <v>1480000</v>
      </c>
      <c r="X14" s="252">
        <f t="shared" si="2"/>
        <v>0</v>
      </c>
      <c r="Y14" s="252">
        <f t="shared" si="1"/>
        <v>4196100.188699021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1428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4405286.8479986889</v>
      </c>
      <c r="T15" s="252"/>
      <c r="U15" s="254">
        <f t="shared" si="4"/>
        <v>1198036.8181499501</v>
      </c>
      <c r="V15" s="254">
        <f t="shared" si="5"/>
        <v>134163.98000000001</v>
      </c>
      <c r="W15" s="252">
        <f t="shared" si="6"/>
        <v>1480000</v>
      </c>
      <c r="X15" s="252">
        <f t="shared" si="2"/>
        <v>0</v>
      </c>
      <c r="Y15" s="252">
        <f t="shared" si="1"/>
        <v>4257487.6461486397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-1433.2400000000002</v>
      </c>
      <c r="F16" s="391"/>
      <c r="G16" s="544" t="s">
        <v>217</v>
      </c>
      <c r="H16" s="539">
        <f>C16/E51</f>
        <v>5.2358620689655175E-2</v>
      </c>
      <c r="I16" s="542">
        <f>(D16-M31)/E51*12</f>
        <v>3.873864827586207E-2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4430984.3546120143</v>
      </c>
      <c r="T16" s="252"/>
      <c r="U16" s="254">
        <f t="shared" si="4"/>
        <v>1218020.4583011996</v>
      </c>
      <c r="V16" s="254">
        <f t="shared" si="5"/>
        <v>150184.47750000001</v>
      </c>
      <c r="W16" s="252">
        <f t="shared" si="6"/>
        <v>1480000</v>
      </c>
      <c r="X16" s="252">
        <f t="shared" si="2"/>
        <v>0</v>
      </c>
      <c r="Y16" s="252">
        <f t="shared" si="1"/>
        <v>4319189.2904132139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0</v>
      </c>
      <c r="D17" s="378">
        <f>M17*52/12</f>
        <v>0</v>
      </c>
      <c r="E17" s="392">
        <f>SUM(D17-D26)</f>
        <v>0</v>
      </c>
      <c r="F17" s="391"/>
      <c r="G17" s="544" t="s">
        <v>244</v>
      </c>
      <c r="H17" s="539" t="e">
        <f>C17/E52</f>
        <v>#DIV/0!</v>
      </c>
      <c r="I17" s="542" t="e">
        <f>(D17-M32)/E52*12</f>
        <v>#DIV/0!</v>
      </c>
      <c r="K17" s="205"/>
      <c r="L17" s="212" t="s">
        <v>243</v>
      </c>
      <c r="M17" s="223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4456831.7633472513</v>
      </c>
      <c r="T17" s="252">
        <f>$V$4</f>
        <v>2000000</v>
      </c>
      <c r="U17" s="254">
        <f t="shared" si="4"/>
        <v>1238170.6287870428</v>
      </c>
      <c r="V17" s="254">
        <f t="shared" si="5"/>
        <v>166204.97500000001</v>
      </c>
      <c r="W17" s="252">
        <f t="shared" si="6"/>
        <v>1480000</v>
      </c>
      <c r="X17" s="252">
        <f t="shared" si="2"/>
        <v>2000000</v>
      </c>
      <c r="Y17" s="252">
        <f t="shared" si="1"/>
        <v>6381207.3671342935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6482829.9486334436</v>
      </c>
      <c r="T18" s="252"/>
      <c r="U18" s="254">
        <f t="shared" si="4"/>
        <v>1258488.7173602681</v>
      </c>
      <c r="V18" s="254">
        <f t="shared" si="5"/>
        <v>182225.4725</v>
      </c>
      <c r="W18" s="252">
        <f t="shared" si="6"/>
        <v>3480000</v>
      </c>
      <c r="X18" s="252">
        <f t="shared" si="2"/>
        <v>0</v>
      </c>
      <c r="Y18" s="252">
        <f t="shared" si="1"/>
        <v>4443544.1384937121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SUM(E16:E18+E14)*0.4*-12</f>
        <v>13738.655999999995</v>
      </c>
      <c r="D19" s="535">
        <f>C19/12</f>
        <v>1144.8879999999997</v>
      </c>
      <c r="E19" s="534"/>
      <c r="F19" s="391"/>
      <c r="G19" s="547" t="s">
        <v>56</v>
      </c>
      <c r="H19" s="548" t="s">
        <v>57</v>
      </c>
      <c r="I19" s="549">
        <f>SUM(D6:D18)</f>
        <v>32953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6520646.4566671392</v>
      </c>
      <c r="T19" s="252"/>
      <c r="U19" s="254">
        <f t="shared" si="4"/>
        <v>1278976.1233382702</v>
      </c>
      <c r="V19" s="254">
        <f t="shared" si="5"/>
        <v>198245.97</v>
      </c>
      <c r="W19" s="252">
        <f t="shared" si="6"/>
        <v>3480000</v>
      </c>
      <c r="X19" s="252">
        <f t="shared" si="2"/>
        <v>0</v>
      </c>
      <c r="Y19" s="252">
        <f t="shared" si="1"/>
        <v>4517868.5500054089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6558683.5609976975</v>
      </c>
      <c r="T20" s="252"/>
      <c r="U20" s="254">
        <f t="shared" si="4"/>
        <v>1299634.2576994225</v>
      </c>
      <c r="V20" s="254">
        <f t="shared" si="5"/>
        <v>214266.4675</v>
      </c>
      <c r="W20" s="252">
        <f t="shared" si="6"/>
        <v>3480000</v>
      </c>
      <c r="X20" s="252">
        <f t="shared" si="2"/>
        <v>0</v>
      </c>
      <c r="Y20" s="252">
        <f t="shared" si="1"/>
        <v>4592584.2861971203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6596942.5484368512</v>
      </c>
      <c r="T21" s="252"/>
      <c r="U21" s="254">
        <f t="shared" si="4"/>
        <v>1320464.543180251</v>
      </c>
      <c r="V21" s="254">
        <f t="shared" si="5"/>
        <v>230286.965</v>
      </c>
      <c r="W21" s="252">
        <f t="shared" si="6"/>
        <v>3480000</v>
      </c>
      <c r="X21" s="252">
        <f t="shared" si="2"/>
        <v>0</v>
      </c>
      <c r="Y21" s="252">
        <f t="shared" si="1"/>
        <v>4667694.0566171017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5" si="8">D22*12</f>
        <v>0</v>
      </c>
      <c r="D22" s="409">
        <f>PMT(M22/12, 25*12, -M75)</f>
        <v>0</v>
      </c>
      <c r="E22" s="410"/>
      <c r="F22" s="402"/>
      <c r="G22" s="406"/>
      <c r="H22" s="201"/>
      <c r="I22" s="407"/>
      <c r="K22" s="205"/>
      <c r="L22" s="212" t="s">
        <v>118</v>
      </c>
      <c r="M22" s="225">
        <v>5.9900000000000002E-2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6635424.7133027334</v>
      </c>
      <c r="T22" s="252"/>
      <c r="U22" s="254">
        <f t="shared" si="4"/>
        <v>1341468.4143734197</v>
      </c>
      <c r="V22" s="254">
        <f t="shared" si="5"/>
        <v>246307.46249999999</v>
      </c>
      <c r="W22" s="252">
        <f t="shared" si="6"/>
        <v>3480000</v>
      </c>
      <c r="X22" s="252">
        <f t="shared" si="2"/>
        <v>0</v>
      </c>
      <c r="Y22" s="252">
        <f t="shared" si="1"/>
        <v>4743200.5901761539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37955.919999999998</v>
      </c>
      <c r="D23" s="409">
        <f>M23*I49/12+(M29)</f>
        <v>3162.9933333333329</v>
      </c>
      <c r="E23" s="410"/>
      <c r="F23" s="402"/>
      <c r="G23" s="406"/>
      <c r="H23" s="201"/>
      <c r="I23" s="407"/>
      <c r="K23" s="205"/>
      <c r="L23" s="212" t="s">
        <v>167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6674131.3574636662</v>
      </c>
      <c r="T23" s="252"/>
      <c r="U23" s="254">
        <f t="shared" si="4"/>
        <v>1362647.3178265316</v>
      </c>
      <c r="V23" s="254">
        <f t="shared" si="5"/>
        <v>262327.96000000002</v>
      </c>
      <c r="W23" s="252">
        <f t="shared" si="6"/>
        <v>3480000</v>
      </c>
      <c r="X23" s="252">
        <f t="shared" si="2"/>
        <v>0</v>
      </c>
      <c r="Y23" s="252">
        <f t="shared" si="1"/>
        <v>4819106.635290198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22020</v>
      </c>
      <c r="D24" s="409">
        <f>M24*I50/12+(M30)</f>
        <v>1835</v>
      </c>
      <c r="E24" s="411"/>
      <c r="F24" s="412"/>
      <c r="G24" s="413" t="s">
        <v>86</v>
      </c>
      <c r="H24" s="376">
        <f>I19-I32</f>
        <v>16020.497500000001</v>
      </c>
      <c r="I24" s="407"/>
      <c r="K24" s="205"/>
      <c r="L24" s="212" t="s">
        <v>168</v>
      </c>
      <c r="M24" s="225">
        <f>M23</f>
        <v>5.9900000000000002E-2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6713063.7903822046</v>
      </c>
      <c r="T24" s="252"/>
      <c r="U24" s="254">
        <f t="shared" si="4"/>
        <v>1384002.7121417527</v>
      </c>
      <c r="V24" s="254">
        <f t="shared" si="5"/>
        <v>278348.45750000002</v>
      </c>
      <c r="W24" s="252">
        <f t="shared" si="6"/>
        <v>3480000</v>
      </c>
      <c r="X24" s="252">
        <f t="shared" si="2"/>
        <v>0</v>
      </c>
      <c r="Y24" s="252">
        <f t="shared" si="1"/>
        <v>4895414.9600239564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55158.880000000005</v>
      </c>
      <c r="D25" s="409">
        <f>M25*I51/12+(M31)</f>
        <v>4596.5733333333337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5.9900000000000002E-2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6752223.329159434</v>
      </c>
      <c r="T25" s="252"/>
      <c r="U25" s="254">
        <f t="shared" si="4"/>
        <v>1405536.0680762674</v>
      </c>
      <c r="V25" s="254">
        <f t="shared" si="5"/>
        <v>294368.95500000002</v>
      </c>
      <c r="W25" s="252">
        <f t="shared" si="6"/>
        <v>3480000</v>
      </c>
      <c r="X25" s="252">
        <f t="shared" si="2"/>
        <v>0</v>
      </c>
      <c r="Y25" s="252">
        <f t="shared" si="1"/>
        <v>4972128.3522357009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ref="C26:C27" si="9">D26*12</f>
        <v>0</v>
      </c>
      <c r="D26" s="409">
        <f>M26*I52/12+(M32)</f>
        <v>0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5.9900000000000002E-2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6791611.2985795308</v>
      </c>
      <c r="T26" s="252"/>
      <c r="U26" s="254">
        <f t="shared" si="4"/>
        <v>1427248.8686435695</v>
      </c>
      <c r="V26" s="254">
        <f t="shared" si="5"/>
        <v>310389.45250000001</v>
      </c>
      <c r="W26" s="252">
        <f t="shared" si="6"/>
        <v>3480000</v>
      </c>
      <c r="X26" s="252">
        <f t="shared" si="2"/>
        <v>0</v>
      </c>
      <c r="Y26" s="252">
        <f t="shared" si="1"/>
        <v>5049249.6197231002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9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5.9900000000000002E-2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6831229.0311545786</v>
      </c>
      <c r="T27" s="252"/>
      <c r="U27" s="254">
        <f t="shared" si="4"/>
        <v>1449142.6092155993</v>
      </c>
      <c r="V27" s="254">
        <f t="shared" si="5"/>
        <v>326409.95</v>
      </c>
      <c r="W27" s="252">
        <f t="shared" si="6"/>
        <v>3480000</v>
      </c>
      <c r="X27" s="252">
        <f t="shared" si="2"/>
        <v>0</v>
      </c>
      <c r="Y27" s="252">
        <f t="shared" si="1"/>
        <v>5126781.5903701782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6871077.8671696475</v>
      </c>
      <c r="T28" s="252">
        <f>$V$4</f>
        <v>2000000</v>
      </c>
      <c r="U28" s="254">
        <f t="shared" si="4"/>
        <v>1471218.7976257291</v>
      </c>
      <c r="V28" s="254">
        <f t="shared" si="5"/>
        <v>342430.44750000001</v>
      </c>
      <c r="W28" s="252">
        <f t="shared" si="6"/>
        <v>3480000</v>
      </c>
      <c r="X28" s="252">
        <f t="shared" si="2"/>
        <v>2000000</v>
      </c>
      <c r="Y28" s="252">
        <f t="shared" si="1"/>
        <v>7204727.112295378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8911159.154728137</v>
      </c>
      <c r="T29" s="252"/>
      <c r="U29" s="254">
        <f t="shared" si="4"/>
        <v>1493478.9542726101</v>
      </c>
      <c r="V29" s="254">
        <f t="shared" si="5"/>
        <v>358450.94500000001</v>
      </c>
      <c r="W29" s="252">
        <f t="shared" si="6"/>
        <v>5480000</v>
      </c>
      <c r="X29" s="252">
        <f t="shared" si="2"/>
        <v>0</v>
      </c>
      <c r="Y29" s="252">
        <f t="shared" si="1"/>
        <v>5283089.0540007465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8963140.9164640512</v>
      </c>
      <c r="T30" s="252"/>
      <c r="U30" s="254">
        <f t="shared" si="4"/>
        <v>1515924.6122248818</v>
      </c>
      <c r="V30" s="254">
        <f t="shared" si="5"/>
        <v>374471.4425</v>
      </c>
      <c r="W30" s="252">
        <f t="shared" si="6"/>
        <v>5480000</v>
      </c>
      <c r="X30" s="252">
        <f t="shared" si="2"/>
        <v>0</v>
      </c>
      <c r="Y30" s="252">
        <f t="shared" si="1"/>
        <v>5373536.9711889345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9015425.9051434249</v>
      </c>
      <c r="T31" s="252"/>
      <c r="U31" s="254">
        <f t="shared" si="4"/>
        <v>1538557.3173267557</v>
      </c>
      <c r="V31" s="254">
        <f t="shared" si="5"/>
        <v>390491.94</v>
      </c>
      <c r="W31" s="252">
        <f t="shared" si="6"/>
        <v>5480000</v>
      </c>
      <c r="X31" s="252">
        <f t="shared" si="2"/>
        <v>0</v>
      </c>
      <c r="Y31" s="252">
        <f t="shared" si="1"/>
        <v>5464475.1624701805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16932.502499999999</v>
      </c>
      <c r="K32" s="205"/>
      <c r="L32" s="212" t="s">
        <v>256</v>
      </c>
      <c r="M32" s="532"/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9068015.8895900957</v>
      </c>
      <c r="T32" s="252"/>
      <c r="U32" s="254">
        <f t="shared" si="4"/>
        <v>1561378.6283044787</v>
      </c>
      <c r="V32" s="254">
        <f t="shared" si="5"/>
        <v>406512.4375</v>
      </c>
      <c r="W32" s="252">
        <f t="shared" si="6"/>
        <v>5480000</v>
      </c>
      <c r="X32" s="252">
        <f t="shared" si="2"/>
        <v>0</v>
      </c>
      <c r="Y32" s="252">
        <f t="shared" si="1"/>
        <v>5555906.9553945735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9120912.6489460375</v>
      </c>
      <c r="T33" s="252"/>
      <c r="U33" s="254">
        <f t="shared" si="4"/>
        <v>1584390.1168736827</v>
      </c>
      <c r="V33" s="254">
        <f t="shared" si="5"/>
        <v>422532.935</v>
      </c>
      <c r="W33" s="252">
        <f t="shared" si="6"/>
        <v>5480000</v>
      </c>
      <c r="X33" s="252">
        <f t="shared" si="2"/>
        <v>0</v>
      </c>
      <c r="Y33" s="252">
        <f t="shared" si="1"/>
        <v>5647835.7008197214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9174117.9727315567</v>
      </c>
      <c r="T34" s="252"/>
      <c r="U34" s="254">
        <f t="shared" si="4"/>
        <v>1607593.3678476301</v>
      </c>
      <c r="V34" s="254">
        <f t="shared" si="5"/>
        <v>438553.4325</v>
      </c>
      <c r="W34" s="252">
        <f t="shared" si="6"/>
        <v>5480000</v>
      </c>
      <c r="X34" s="252">
        <f t="shared" si="2"/>
        <v>0</v>
      </c>
      <c r="Y34" s="252">
        <f t="shared" si="1"/>
        <v>5740264.7730791867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9227633.660905825</v>
      </c>
      <c r="T35" s="252"/>
      <c r="U35" s="254">
        <f t="shared" si="4"/>
        <v>1630989.9792463602</v>
      </c>
      <c r="V35" s="254">
        <f t="shared" si="5"/>
        <v>454573.93</v>
      </c>
      <c r="W35" s="252">
        <f t="shared" si="6"/>
        <v>5480000</v>
      </c>
      <c r="X35" s="252">
        <f t="shared" si="2"/>
        <v>0</v>
      </c>
      <c r="Y35" s="252">
        <f t="shared" si="1"/>
        <v>5833197.5701521859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9281461.5239277761</v>
      </c>
      <c r="T36" s="252"/>
      <c r="U36" s="254">
        <f t="shared" si="4"/>
        <v>1654581.5624067464</v>
      </c>
      <c r="V36" s="254">
        <f t="shared" si="5"/>
        <v>470594.42749999999</v>
      </c>
      <c r="W36" s="252">
        <f t="shared" si="6"/>
        <v>5480000</v>
      </c>
      <c r="X36" s="252">
        <f t="shared" si="2"/>
        <v>0</v>
      </c>
      <c r="Y36" s="252">
        <f t="shared" si="1"/>
        <v>5926637.513834523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9335603.3828173559</v>
      </c>
      <c r="T37" s="252"/>
      <c r="U37" s="254">
        <f t="shared" si="4"/>
        <v>1678369.7420934692</v>
      </c>
      <c r="V37" s="254">
        <f t="shared" si="5"/>
        <v>486614.92499999999</v>
      </c>
      <c r="W37" s="252">
        <f t="shared" si="6"/>
        <v>5480000</v>
      </c>
      <c r="X37" s="252">
        <f t="shared" si="2"/>
        <v>0</v>
      </c>
      <c r="Y37" s="252">
        <f t="shared" si="1"/>
        <v>6020588.0499108266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6000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9390061.069217125</v>
      </c>
      <c r="T38" s="252"/>
      <c r="U38" s="254">
        <f t="shared" si="4"/>
        <v>1702356.1566109147</v>
      </c>
      <c r="V38" s="254">
        <f t="shared" si="5"/>
        <v>502635.42249999999</v>
      </c>
      <c r="W38" s="252">
        <f t="shared" si="6"/>
        <v>5480000</v>
      </c>
      <c r="X38" s="252">
        <f t="shared" si="2"/>
        <v>0</v>
      </c>
      <c r="Y38" s="252">
        <f t="shared" si="1"/>
        <v>6115052.6483280398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9444836.4254542254</v>
      </c>
      <c r="T39" s="252"/>
      <c r="U39" s="254">
        <f t="shared" si="4"/>
        <v>1726542.4579160057</v>
      </c>
      <c r="V39" s="254">
        <f t="shared" si="5"/>
        <v>518655.92</v>
      </c>
      <c r="W39" s="252">
        <f t="shared" si="6"/>
        <v>5480000</v>
      </c>
      <c r="X39" s="252">
        <f t="shared" si="2"/>
        <v>0</v>
      </c>
      <c r="Y39" s="252">
        <f t="shared" si="1"/>
        <v>6210034.8033702318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9499931.3046027087</v>
      </c>
      <c r="T40" s="252">
        <f>$V$4</f>
        <v>2000000</v>
      </c>
      <c r="U40" s="254">
        <f t="shared" si="4"/>
        <v>1750930.3117319725</v>
      </c>
      <c r="V40" s="254">
        <f t="shared" si="5"/>
        <v>534676.41749999998</v>
      </c>
      <c r="W40" s="252">
        <f t="shared" si="6"/>
        <v>5480000</v>
      </c>
      <c r="X40" s="252">
        <f t="shared" si="2"/>
        <v>2000000</v>
      </c>
      <c r="Y40" s="252">
        <f t="shared" si="1"/>
        <v>8305538.0338346809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208000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11555347.570546225</v>
      </c>
      <c r="T41" s="252"/>
      <c r="U41" s="254">
        <f t="shared" si="4"/>
        <v>1775521.3976630722</v>
      </c>
      <c r="V41" s="254">
        <f t="shared" si="5"/>
        <v>550696.91500000004</v>
      </c>
      <c r="W41" s="252">
        <f t="shared" si="6"/>
        <v>7480000</v>
      </c>
      <c r="X41" s="252">
        <f t="shared" si="2"/>
        <v>0</v>
      </c>
      <c r="Y41" s="252">
        <f t="shared" si="1"/>
        <v>6401565.8832092956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242000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11622753.764707744</v>
      </c>
      <c r="T42" s="252"/>
      <c r="U42" s="254">
        <f t="shared" si="4"/>
        <v>1800317.4093102645</v>
      </c>
      <c r="V42" s="254">
        <f t="shared" si="5"/>
        <v>566717.41250000009</v>
      </c>
      <c r="W42" s="252">
        <f t="shared" si="6"/>
        <v>7480000</v>
      </c>
      <c r="X42" s="252">
        <f t="shared" si="2"/>
        <v>0</v>
      </c>
      <c r="Y42" s="252">
        <f t="shared" si="1"/>
        <v>6509788.5865180083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594000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11690553.161668539</v>
      </c>
      <c r="T43" s="252"/>
      <c r="U43" s="254">
        <f t="shared" si="4"/>
        <v>1825320.05438785</v>
      </c>
      <c r="V43" s="254">
        <f t="shared" si="5"/>
        <v>582737.91000000015</v>
      </c>
      <c r="W43" s="252">
        <f t="shared" si="6"/>
        <v>7480000</v>
      </c>
      <c r="X43" s="252">
        <f t="shared" si="2"/>
        <v>0</v>
      </c>
      <c r="Y43" s="252">
        <f t="shared" si="1"/>
        <v>6618611.1260563899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11758748.055111606</v>
      </c>
      <c r="T44" s="252"/>
      <c r="U44" s="254">
        <f t="shared" si="4"/>
        <v>1850531.0548410821</v>
      </c>
      <c r="V44" s="254">
        <f t="shared" si="5"/>
        <v>598758.4075000002</v>
      </c>
      <c r="W44" s="252">
        <f t="shared" si="6"/>
        <v>7480000</v>
      </c>
      <c r="X44" s="252">
        <f t="shared" si="2"/>
        <v>0</v>
      </c>
      <c r="Y44" s="252">
        <f t="shared" si="1"/>
        <v>6728037.5174526889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11827340.752099756</v>
      </c>
      <c r="T45" s="252"/>
      <c r="U45" s="254">
        <f t="shared" si="4"/>
        <v>1875952.1469647577</v>
      </c>
      <c r="V45" s="254">
        <f t="shared" si="5"/>
        <v>614778.90500000026</v>
      </c>
      <c r="W45" s="252">
        <f t="shared" si="6"/>
        <v>7480000</v>
      </c>
      <c r="X45" s="252">
        <f t="shared" si="2"/>
        <v>0</v>
      </c>
      <c r="Y45" s="252">
        <f t="shared" si="1"/>
        <v>6838071.804064516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11896333.573153671</v>
      </c>
      <c r="T46" s="252"/>
      <c r="U46" s="254">
        <f t="shared" si="4"/>
        <v>1901585.0815227972</v>
      </c>
      <c r="V46" s="254">
        <f t="shared" si="5"/>
        <v>630799.40250000032</v>
      </c>
      <c r="W46" s="252">
        <f t="shared" si="6"/>
        <v>7480000</v>
      </c>
      <c r="X46" s="252">
        <f t="shared" si="2"/>
        <v>0</v>
      </c>
      <c r="Y46" s="252">
        <f t="shared" si="1"/>
        <v>6948718.057176467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11965728.852330402</v>
      </c>
      <c r="T47" s="252"/>
      <c r="U47" s="254">
        <f t="shared" si="4"/>
        <v>1927431.6238688205</v>
      </c>
      <c r="V47" s="254">
        <f t="shared" si="5"/>
        <v>646819.90000000037</v>
      </c>
      <c r="W47" s="252">
        <f t="shared" si="6"/>
        <v>7480000</v>
      </c>
      <c r="X47" s="252">
        <f t="shared" si="2"/>
        <v>0</v>
      </c>
      <c r="Y47" s="252">
        <f t="shared" si="1"/>
        <v>7059980.3761992231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10">E48-I48</f>
        <v>1900000</v>
      </c>
      <c r="E48" s="433">
        <f t="shared" ref="E48:E53" si="11">M62</f>
        <v>1900000</v>
      </c>
      <c r="F48" s="366"/>
      <c r="G48" s="365" t="s">
        <v>6</v>
      </c>
      <c r="H48" s="201"/>
      <c r="I48" s="434">
        <f>M75</f>
        <v>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12035528.937302329</v>
      </c>
      <c r="T48" s="252"/>
      <c r="U48" s="254">
        <f t="shared" si="4"/>
        <v>1953493.5540677272</v>
      </c>
      <c r="V48" s="254">
        <f t="shared" si="5"/>
        <v>662840.39750000043</v>
      </c>
      <c r="W48" s="252">
        <f t="shared" si="6"/>
        <v>7480000</v>
      </c>
      <c r="X48" s="252">
        <f t="shared" si="2"/>
        <v>0</v>
      </c>
      <c r="Y48" s="252">
        <f t="shared" si="1"/>
        <v>7171862.8888700567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10"/>
        <v>488000</v>
      </c>
      <c r="E49" s="433">
        <f t="shared" si="11"/>
        <v>1000000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12105736.189436592</v>
      </c>
      <c r="T49" s="252"/>
      <c r="U49" s="254">
        <f t="shared" si="4"/>
        <v>1979772.6670182915</v>
      </c>
      <c r="V49" s="254">
        <f t="shared" si="5"/>
        <v>678860.89500000048</v>
      </c>
      <c r="W49" s="252">
        <f t="shared" si="6"/>
        <v>7480000</v>
      </c>
      <c r="X49" s="252">
        <f t="shared" si="2"/>
        <v>0</v>
      </c>
      <c r="Y49" s="252">
        <f t="shared" si="1"/>
        <v>7284369.7514548823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10"/>
        <v>380000</v>
      </c>
      <c r="E50" s="433">
        <f t="shared" si="11"/>
        <v>580000</v>
      </c>
      <c r="F50" s="366"/>
      <c r="G50" s="406" t="s">
        <v>224</v>
      </c>
      <c r="H50" s="201"/>
      <c r="I50" s="434">
        <f>M78</f>
        <v>200000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12176352.983874973</v>
      </c>
      <c r="T50" s="252"/>
      <c r="U50" s="254">
        <f t="shared" si="4"/>
        <v>2006270.7725767773</v>
      </c>
      <c r="V50" s="254">
        <f t="shared" si="5"/>
        <v>694881.39250000054</v>
      </c>
      <c r="W50" s="252">
        <f t="shared" si="6"/>
        <v>7480000</v>
      </c>
      <c r="X50" s="252">
        <f t="shared" si="2"/>
        <v>0</v>
      </c>
      <c r="Y50" s="252">
        <f t="shared" si="1"/>
        <v>7397505.1489517502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10"/>
        <v>-31000</v>
      </c>
      <c r="E51" s="433">
        <f t="shared" si="11"/>
        <v>725000</v>
      </c>
      <c r="F51" s="366"/>
      <c r="G51" s="406" t="s">
        <v>225</v>
      </c>
      <c r="H51" s="201"/>
      <c r="I51" s="434">
        <f>M79</f>
        <v>756000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12247381.709614243</v>
      </c>
      <c r="T51" s="252"/>
      <c r="U51" s="254">
        <f t="shared" si="4"/>
        <v>2032989.6956815836</v>
      </c>
      <c r="V51" s="254">
        <f t="shared" si="5"/>
        <v>710901.8900000006</v>
      </c>
      <c r="W51" s="252">
        <f t="shared" si="6"/>
        <v>7480000</v>
      </c>
      <c r="X51" s="252">
        <f t="shared" si="2"/>
        <v>0</v>
      </c>
      <c r="Y51" s="252">
        <f t="shared" si="1"/>
        <v>7511273.2952958271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10"/>
        <v>0</v>
      </c>
      <c r="E52" s="433">
        <f t="shared" si="11"/>
        <v>0</v>
      </c>
      <c r="F52" s="366"/>
      <c r="G52" s="406" t="s">
        <v>240</v>
      </c>
      <c r="H52" s="201"/>
      <c r="I52" s="434">
        <f>M80</f>
        <v>0</v>
      </c>
      <c r="J52" s="18"/>
      <c r="K52" s="205"/>
      <c r="L52" s="212" t="s">
        <v>77</v>
      </c>
      <c r="M52" s="223">
        <v>6000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12318824.769586993</v>
      </c>
      <c r="T52" s="252">
        <f>$V$4</f>
        <v>2000000</v>
      </c>
      <c r="U52" s="254">
        <f t="shared" si="4"/>
        <v>2059931.2764789301</v>
      </c>
      <c r="V52" s="254">
        <f t="shared" si="5"/>
        <v>726922.38750000065</v>
      </c>
      <c r="W52" s="252">
        <f t="shared" si="6"/>
        <v>7480000</v>
      </c>
      <c r="X52" s="252">
        <f t="shared" si="2"/>
        <v>2000000</v>
      </c>
      <c r="Y52" s="252">
        <f t="shared" si="1"/>
        <v>9625678.4335659221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10"/>
        <v>0</v>
      </c>
      <c r="E53" s="433">
        <f t="shared" si="11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14390684.580742918</v>
      </c>
      <c r="T53" s="252"/>
      <c r="U53" s="254">
        <f t="shared" si="4"/>
        <v>2087097.3704495879</v>
      </c>
      <c r="V53" s="254">
        <f t="shared" si="5"/>
        <v>742942.88500000071</v>
      </c>
      <c r="W53" s="252">
        <f t="shared" si="6"/>
        <v>9480000</v>
      </c>
      <c r="X53" s="252">
        <f t="shared" si="2"/>
        <v>0</v>
      </c>
      <c r="Y53" s="252">
        <f t="shared" si="1"/>
        <v>7740724.8361925073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14474630.240797251</v>
      </c>
      <c r="T54" s="252"/>
      <c r="U54" s="254">
        <f t="shared" si="4"/>
        <v>2114489.8485366679</v>
      </c>
      <c r="V54" s="254">
        <f t="shared" si="5"/>
        <v>758963.38250000076</v>
      </c>
      <c r="W54" s="252">
        <f t="shared" si="6"/>
        <v>9480000</v>
      </c>
      <c r="X54" s="252">
        <f t="shared" si="2"/>
        <v>0</v>
      </c>
      <c r="Y54" s="252">
        <f t="shared" si="1"/>
        <v>7868083.471833922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208000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14559065.583868569</v>
      </c>
      <c r="T55" s="252"/>
      <c r="U55" s="254">
        <f t="shared" si="4"/>
        <v>2142110.5972744734</v>
      </c>
      <c r="V55" s="254">
        <f t="shared" si="5"/>
        <v>774983.88000000082</v>
      </c>
      <c r="W55" s="252">
        <f t="shared" si="6"/>
        <v>9480000</v>
      </c>
      <c r="X55" s="252">
        <f t="shared" si="2"/>
        <v>0</v>
      </c>
      <c r="Y55" s="252">
        <f t="shared" si="1"/>
        <v>7996160.0611430407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5675000</v>
      </c>
      <c r="F56" s="366"/>
      <c r="G56" s="441"/>
      <c r="H56" s="420"/>
      <c r="I56" s="442"/>
      <c r="J56" s="18"/>
      <c r="K56" s="205"/>
      <c r="L56" s="212" t="s">
        <v>80</v>
      </c>
      <c r="M56" s="223">
        <v>242000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14643993.466441136</v>
      </c>
      <c r="T56" s="252"/>
      <c r="U56" s="254">
        <f t="shared" si="4"/>
        <v>2169961.5189184272</v>
      </c>
      <c r="V56" s="254">
        <f t="shared" si="5"/>
        <v>791004.37750000088</v>
      </c>
      <c r="W56" s="252">
        <f t="shared" si="6"/>
        <v>9480000</v>
      </c>
      <c r="X56" s="252">
        <f t="shared" si="2"/>
        <v>0</v>
      </c>
      <c r="Y56" s="252">
        <f t="shared" si="1"/>
        <v>8124959.3628595658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5255000</v>
      </c>
      <c r="F57" s="416"/>
      <c r="G57" s="553" t="s">
        <v>59</v>
      </c>
      <c r="H57" s="554"/>
      <c r="I57" s="555">
        <f>SUM(I38:I56)</f>
        <v>1480000</v>
      </c>
      <c r="K57" s="205"/>
      <c r="L57" s="212" t="s">
        <v>81</v>
      </c>
      <c r="M57" s="223">
        <v>594000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14729416.761662044</v>
      </c>
      <c r="T57" s="252"/>
      <c r="U57" s="254">
        <f t="shared" si="4"/>
        <v>2198044.5315760807</v>
      </c>
      <c r="V57" s="254">
        <f t="shared" si="5"/>
        <v>807024.87500000093</v>
      </c>
      <c r="W57" s="252">
        <f t="shared" si="6"/>
        <v>9480000</v>
      </c>
      <c r="X57" s="252">
        <f t="shared" si="2"/>
        <v>0</v>
      </c>
      <c r="Y57" s="252">
        <f t="shared" si="1"/>
        <v>8254486.1682381257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14815338.359438406</v>
      </c>
      <c r="T58" s="252"/>
      <c r="U58" s="254">
        <f t="shared" si="4"/>
        <v>2226361.5693392148</v>
      </c>
      <c r="V58" s="254">
        <f t="shared" si="5"/>
        <v>823045.37250000099</v>
      </c>
      <c r="W58" s="252">
        <f t="shared" si="6"/>
        <v>9480000</v>
      </c>
      <c r="X58" s="252">
        <f t="shared" si="2"/>
        <v>0</v>
      </c>
      <c r="Y58" s="252">
        <f t="shared" si="1"/>
        <v>8384745.3012776226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14901761.16653513</v>
      </c>
      <c r="T59" s="252"/>
      <c r="U59" s="254">
        <f t="shared" si="4"/>
        <v>2254914.5824170415</v>
      </c>
      <c r="V59" s="254">
        <f t="shared" si="5"/>
        <v>839065.87000000104</v>
      </c>
      <c r="W59" s="252">
        <f t="shared" si="6"/>
        <v>9480000</v>
      </c>
      <c r="X59" s="252">
        <f t="shared" si="2"/>
        <v>0</v>
      </c>
      <c r="Y59" s="252">
        <f t="shared" si="1"/>
        <v>8515741.6189521737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14988688.106673252</v>
      </c>
      <c r="T60" s="252"/>
      <c r="U60" s="254">
        <f t="shared" si="4"/>
        <v>2283705.5372705166</v>
      </c>
      <c r="V60" s="254">
        <f t="shared" si="5"/>
        <v>855086.3675000011</v>
      </c>
      <c r="W60" s="252">
        <f t="shared" si="6"/>
        <v>9480000</v>
      </c>
      <c r="X60" s="252">
        <f t="shared" si="2"/>
        <v>0</v>
      </c>
      <c r="Y60" s="252">
        <f t="shared" si="1"/>
        <v>8647480.0114437677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15076122.120628847</v>
      </c>
      <c r="T61" s="252"/>
      <c r="U61" s="254">
        <f t="shared" si="4"/>
        <v>2312736.4167477707</v>
      </c>
      <c r="V61" s="254">
        <f t="shared" si="5"/>
        <v>871106.86500000115</v>
      </c>
      <c r="W61" s="252">
        <f t="shared" si="6"/>
        <v>9480000</v>
      </c>
      <c r="X61" s="252">
        <f t="shared" si="2"/>
        <v>0</v>
      </c>
      <c r="Y61" s="252">
        <f t="shared" si="1"/>
        <v>8779965.4023766182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1900000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15164066.166332515</v>
      </c>
      <c r="T62" s="252"/>
      <c r="U62" s="254">
        <f t="shared" si="4"/>
        <v>2342009.2202206687</v>
      </c>
      <c r="V62" s="254">
        <f t="shared" si="5"/>
        <v>887127.36250000121</v>
      </c>
      <c r="W62" s="252">
        <f t="shared" si="6"/>
        <v>9480000</v>
      </c>
      <c r="X62" s="252">
        <f t="shared" si="2"/>
        <v>0</v>
      </c>
      <c r="Y62" s="252">
        <f t="shared" si="1"/>
        <v>8913202.7490531839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1000000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15252523.218969455</v>
      </c>
      <c r="T63" s="252"/>
      <c r="U63" s="254">
        <f t="shared" si="4"/>
        <v>2371525.9637225075</v>
      </c>
      <c r="V63" s="254">
        <f t="shared" si="5"/>
        <v>903147.86000000127</v>
      </c>
      <c r="W63" s="252">
        <f t="shared" si="6"/>
        <v>9480000</v>
      </c>
      <c r="X63" s="252">
        <f t="shared" si="2"/>
        <v>0</v>
      </c>
      <c r="Y63" s="252">
        <f t="shared" si="1"/>
        <v>9047197.0426919609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15341496.27108011</v>
      </c>
      <c r="T64" s="252">
        <f>$V$4</f>
        <v>2000000</v>
      </c>
      <c r="U64" s="254">
        <f t="shared" si="4"/>
        <v>2401288.6800868618</v>
      </c>
      <c r="V64" s="254">
        <f t="shared" si="5"/>
        <v>919168.35750000132</v>
      </c>
      <c r="W64" s="252">
        <f t="shared" si="6"/>
        <v>9480000</v>
      </c>
      <c r="X64" s="252">
        <f t="shared" si="2"/>
        <v>2000000</v>
      </c>
      <c r="Y64" s="252">
        <f t="shared" si="1"/>
        <v>11181953.308666974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3775000</v>
      </c>
      <c r="E65" s="200"/>
      <c r="F65" s="201"/>
      <c r="G65" s="202" t="s">
        <v>158</v>
      </c>
      <c r="H65" s="203" t="s">
        <v>114</v>
      </c>
      <c r="I65" s="204">
        <f>I19-I32</f>
        <v>16020.497500000001</v>
      </c>
      <c r="J65" s="18"/>
      <c r="K65" s="205"/>
      <c r="L65" s="212" t="s">
        <v>214</v>
      </c>
      <c r="M65" s="223">
        <v>725000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17430988.332661413</v>
      </c>
      <c r="T65" s="252"/>
      <c r="U65" s="254">
        <f t="shared" si="4"/>
        <v>2431299.4190875855</v>
      </c>
      <c r="V65" s="254">
        <f t="shared" si="5"/>
        <v>935188.85500000138</v>
      </c>
      <c r="W65" s="252">
        <f t="shared" si="6"/>
        <v>11480000</v>
      </c>
      <c r="X65" s="252">
        <f t="shared" si="2"/>
        <v>0</v>
      </c>
      <c r="Y65" s="252">
        <f t="shared" si="1"/>
        <v>9317476.6067489982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/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17532669.097935271</v>
      </c>
      <c r="T66" s="252"/>
      <c r="U66" s="254">
        <f t="shared" si="4"/>
        <v>2461560.247579982</v>
      </c>
      <c r="V66" s="254">
        <f t="shared" si="5"/>
        <v>951209.35250000143</v>
      </c>
      <c r="W66" s="252">
        <f t="shared" si="6"/>
        <v>11480000</v>
      </c>
      <c r="X66" s="252">
        <f t="shared" si="2"/>
        <v>0</v>
      </c>
      <c r="Y66" s="252">
        <f t="shared" si="1"/>
        <v>9465438.698015254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4195000</v>
      </c>
      <c r="E67" s="459"/>
      <c r="F67" s="366"/>
      <c r="G67" s="461" t="s">
        <v>113</v>
      </c>
      <c r="H67" s="461" t="s">
        <v>115</v>
      </c>
      <c r="I67" s="462">
        <f>I65*12</f>
        <v>192245.97000000003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1875000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13457.217900000003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1468000</v>
      </c>
      <c r="E72" s="464"/>
      <c r="F72" s="201"/>
      <c r="G72" s="195" t="s">
        <v>1</v>
      </c>
      <c r="H72" s="195" t="s">
        <v>114</v>
      </c>
      <c r="I72" s="196">
        <f>H5</f>
        <v>9953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4205000</v>
      </c>
      <c r="E74" s="464"/>
      <c r="F74" s="201"/>
      <c r="G74" s="195" t="s">
        <v>251</v>
      </c>
      <c r="H74" s="195" t="s">
        <v>114</v>
      </c>
      <c r="I74" s="196">
        <f>I32-H5</f>
        <v>6979.5024999999987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/>
      <c r="C75" s="464"/>
      <c r="D75" s="467"/>
      <c r="E75" s="464"/>
      <c r="F75" s="201"/>
      <c r="G75" s="456"/>
      <c r="H75" s="195" t="s">
        <v>115</v>
      </c>
      <c r="I75" s="196">
        <f>I74*12</f>
        <v>83754.029999999984</v>
      </c>
      <c r="K75" s="205"/>
      <c r="L75" s="212" t="s">
        <v>85</v>
      </c>
      <c r="M75" s="223"/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 t="s">
        <v>101</v>
      </c>
      <c r="C76" s="464"/>
      <c r="D76" s="469">
        <f>SUM(D48:D53)</f>
        <v>2737000</v>
      </c>
      <c r="E76" s="464"/>
      <c r="F76" s="366"/>
      <c r="G76" s="195" t="s">
        <v>125</v>
      </c>
      <c r="H76" s="195"/>
      <c r="I76" s="196">
        <f>I74*12/0.065</f>
        <v>1288523.5384615383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70"/>
      <c r="C77" s="464"/>
      <c r="D77" s="469"/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63" t="s">
        <v>29</v>
      </c>
      <c r="C78" s="464"/>
      <c r="D78" s="472">
        <f>D72/D74</f>
        <v>0.34910820451843044</v>
      </c>
      <c r="E78" s="464"/>
      <c r="F78" s="366"/>
      <c r="G78" s="366"/>
      <c r="H78" s="452"/>
      <c r="I78" s="473"/>
      <c r="K78" s="205"/>
      <c r="L78" s="212" t="s">
        <v>224</v>
      </c>
      <c r="M78" s="223">
        <v>200000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/>
      <c r="C79" s="464"/>
      <c r="D79" s="474"/>
      <c r="E79" s="464"/>
      <c r="F79" s="366"/>
      <c r="I79" s="473"/>
      <c r="K79" s="205"/>
      <c r="L79" s="212" t="s">
        <v>225</v>
      </c>
      <c r="M79" s="223">
        <v>756000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 t="s">
        <v>121</v>
      </c>
      <c r="C80" s="464"/>
      <c r="D80" s="469">
        <f>(80%-D78)*D74</f>
        <v>1896000.0000000002</v>
      </c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/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/>
      <c r="C81" s="464"/>
      <c r="D81" s="474"/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 t="s">
        <v>283</v>
      </c>
      <c r="C82" s="464"/>
      <c r="D82" s="562">
        <f>D80/0.2</f>
        <v>9480000</v>
      </c>
      <c r="E82" s="464"/>
      <c r="F82" s="366"/>
      <c r="G82" s="475" t="s">
        <v>162</v>
      </c>
      <c r="H82" s="476"/>
      <c r="I82" s="477">
        <f>SUM(E38:E39)</f>
        <v>6000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51"/>
      <c r="C83" s="366"/>
      <c r="D83" s="366"/>
      <c r="E83" s="452"/>
      <c r="F83" s="366"/>
      <c r="G83" s="475" t="s">
        <v>163</v>
      </c>
      <c r="H83" s="475"/>
      <c r="I83" s="477">
        <f>SUM(E41:E43)</f>
        <v>1044000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 t="s">
        <v>111</v>
      </c>
      <c r="C84" s="366"/>
      <c r="D84" s="366"/>
      <c r="E84" s="452"/>
      <c r="F84" s="366"/>
      <c r="G84" s="464" t="s">
        <v>154</v>
      </c>
      <c r="H84" s="464"/>
      <c r="I84" s="478">
        <f>SUM(I82:I83)</f>
        <v>1050000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06"/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79" t="s">
        <v>128</v>
      </c>
      <c r="C86" s="480"/>
      <c r="D86" s="481">
        <f>D89-D72</f>
        <v>715329.37706441851</v>
      </c>
      <c r="E86" s="480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51" t="s">
        <v>112</v>
      </c>
      <c r="C87" s="366"/>
      <c r="D87" s="366"/>
      <c r="E87" s="452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/>
      <c r="C88" s="366"/>
      <c r="D88" s="366"/>
      <c r="E88" s="380"/>
      <c r="F88" s="366"/>
      <c r="G88" s="482" t="s">
        <v>165</v>
      </c>
      <c r="H88" s="482"/>
      <c r="I88" s="483">
        <f>SUM(E38:E43)/(I32-H5)</f>
        <v>150.44052208592234</v>
      </c>
      <c r="L88" s="246"/>
      <c r="M88" s="248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79" t="s">
        <v>117</v>
      </c>
      <c r="C89" s="480"/>
      <c r="D89" s="481">
        <f>PV(8%/12,30*12,H24,0)*-1</f>
        <v>2183329.3770644185</v>
      </c>
      <c r="E89" s="480"/>
      <c r="F89" s="366"/>
      <c r="G89" s="482" t="s">
        <v>166</v>
      </c>
      <c r="H89" s="482"/>
      <c r="I89" s="483">
        <f>SUM(E38:E43)/(I32-H5)/12</f>
        <v>12.536710173826862</v>
      </c>
      <c r="L89" s="246"/>
      <c r="M89" s="119"/>
    </row>
    <row r="90" spans="2:26" ht="45" x14ac:dyDescent="0.45">
      <c r="B90" s="451" t="s">
        <v>153</v>
      </c>
      <c r="C90" s="366"/>
      <c r="D90" s="452"/>
      <c r="E90" s="380"/>
      <c r="F90" s="366"/>
      <c r="G90" s="482" t="s">
        <v>161</v>
      </c>
      <c r="H90" s="482"/>
      <c r="I90" s="483">
        <f>H24/(I32-H5)</f>
        <v>2.2953638171202035</v>
      </c>
      <c r="L90" s="246"/>
      <c r="M90" s="119"/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/>
      <c r="M91" s="119"/>
    </row>
    <row r="92" spans="2:26" ht="35" customHeight="1" x14ac:dyDescent="0.35">
      <c r="D92" s="99"/>
      <c r="E92" s="22"/>
      <c r="L92" s="247"/>
      <c r="M92" s="120"/>
    </row>
    <row r="93" spans="2:26" ht="35" customHeight="1" x14ac:dyDescent="0.35">
      <c r="D93" s="99"/>
      <c r="E93" s="98"/>
      <c r="F93" s="99"/>
      <c r="G93" s="99"/>
      <c r="H93" s="99"/>
      <c r="L93" s="246"/>
      <c r="M93" s="248"/>
    </row>
    <row r="94" spans="2:26" ht="35" customHeight="1" x14ac:dyDescent="0.35">
      <c r="D94" s="99"/>
      <c r="E94" s="98"/>
      <c r="F94" s="99"/>
      <c r="G94" s="99"/>
      <c r="H94" s="99"/>
      <c r="L94" s="246"/>
      <c r="M94" s="119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119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6000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1044000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837000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1887000</v>
      </c>
      <c r="I104" s="270">
        <f>H104*0.075</f>
        <v>141525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03EF-3C6A-2840-9AE3-DDF1BA2B7A7D}">
  <dimension ref="B1:AI137"/>
  <sheetViews>
    <sheetView showGridLines="0" topLeftCell="A19" zoomScale="40" zoomScaleNormal="40" workbookViewId="0">
      <selection activeCell="L80" sqref="L80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SUM(D8:D19)</f>
        <v>15345.464</v>
      </c>
      <c r="I5" s="377">
        <f>H5*12</f>
        <v>184145.568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5010000</v>
      </c>
      <c r="T7" s="252"/>
      <c r="U7" s="252">
        <f>SUM(E41:E43)</f>
        <v>975000</v>
      </c>
      <c r="V7" s="252">
        <f>$E$38</f>
        <v>7000</v>
      </c>
      <c r="W7" s="252">
        <f>$I$57</f>
        <v>2331000</v>
      </c>
      <c r="X7" s="252">
        <f>T7</f>
        <v>0</v>
      </c>
      <c r="Y7" s="252">
        <f t="shared" ref="Y7:Y66" si="1">SUM(S7:V7)-W7</f>
        <v>3661000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5039225</v>
      </c>
      <c r="T8" s="252"/>
      <c r="U8" s="254">
        <f>($V$2/12+1)*U7+$V$3</f>
        <v>993125</v>
      </c>
      <c r="V8" s="254">
        <f>V7+$I$65</f>
        <v>21594.915833333336</v>
      </c>
      <c r="W8" s="252">
        <f>W7+X7</f>
        <v>2331000</v>
      </c>
      <c r="X8" s="252">
        <f t="shared" ref="X8:X66" si="2">T8</f>
        <v>0</v>
      </c>
      <c r="Y8" s="252">
        <f t="shared" si="1"/>
        <v>3722944.9158333335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5068620.479166667</v>
      </c>
      <c r="T9" s="252"/>
      <c r="U9" s="254">
        <f t="shared" ref="U9:U66" si="4">($V$2/12+1)*U8+$V$3</f>
        <v>1011401.0416666666</v>
      </c>
      <c r="V9" s="254">
        <f t="shared" ref="V9:V66" si="5">V8+$I$65</f>
        <v>36189.831666666672</v>
      </c>
      <c r="W9" s="252">
        <f t="shared" ref="W9:W66" si="6">W8+X8</f>
        <v>2331000</v>
      </c>
      <c r="X9" s="252">
        <f t="shared" si="2"/>
        <v>0</v>
      </c>
      <c r="Y9" s="252">
        <f t="shared" si="1"/>
        <v>3785211.352500001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5098187.4319618056</v>
      </c>
      <c r="T10" s="252"/>
      <c r="U10" s="254">
        <f t="shared" si="4"/>
        <v>1029829.3836805555</v>
      </c>
      <c r="V10" s="254">
        <f t="shared" si="5"/>
        <v>50784.747500000012</v>
      </c>
      <c r="W10" s="252">
        <f t="shared" si="6"/>
        <v>2331000</v>
      </c>
      <c r="X10" s="252">
        <f t="shared" si="2"/>
        <v>0</v>
      </c>
      <c r="Y10" s="252">
        <f t="shared" si="1"/>
        <v>3847801.5631423602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5127926.8586482499</v>
      </c>
      <c r="T11" s="252"/>
      <c r="U11" s="254">
        <f t="shared" si="4"/>
        <v>1048411.2952112268</v>
      </c>
      <c r="V11" s="254">
        <f t="shared" si="5"/>
        <v>65379.663333333345</v>
      </c>
      <c r="W11" s="252">
        <f t="shared" si="6"/>
        <v>2331000</v>
      </c>
      <c r="X11" s="252">
        <f t="shared" si="2"/>
        <v>0</v>
      </c>
      <c r="Y11" s="252">
        <f t="shared" si="1"/>
        <v>3910717.8171928097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5157839.7653236985</v>
      </c>
      <c r="T12" s="252"/>
      <c r="U12" s="254">
        <f t="shared" si="4"/>
        <v>1067148.0560046537</v>
      </c>
      <c r="V12" s="254">
        <f t="shared" si="5"/>
        <v>79974.579166666677</v>
      </c>
      <c r="W12" s="252">
        <f t="shared" si="6"/>
        <v>2331000</v>
      </c>
      <c r="X12" s="252">
        <f t="shared" si="2"/>
        <v>0</v>
      </c>
      <c r="Y12" s="252">
        <f t="shared" si="1"/>
        <v>3973962.4004950188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5187927.1639547534</v>
      </c>
      <c r="T13" s="252"/>
      <c r="U13" s="254">
        <f t="shared" si="4"/>
        <v>1086040.9564713591</v>
      </c>
      <c r="V13" s="254">
        <f t="shared" si="5"/>
        <v>94569.49500000001</v>
      </c>
      <c r="W13" s="252">
        <f t="shared" si="6"/>
        <v>2331000</v>
      </c>
      <c r="X13" s="252">
        <f t="shared" si="2"/>
        <v>0</v>
      </c>
      <c r="Y13" s="252">
        <f t="shared" si="1"/>
        <v>4037537.6154261129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-476.32666666666637</v>
      </c>
      <c r="F14" s="391"/>
      <c r="G14" s="544" t="s">
        <v>68</v>
      </c>
      <c r="H14" s="539">
        <f>C14/E49</f>
        <v>3.2565656565656569E-2</v>
      </c>
      <c r="I14" s="542">
        <f>(D14-M29)/E49*12</f>
        <v>2.5204929292929296E-2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5218190.0724111563</v>
      </c>
      <c r="T14" s="252"/>
      <c r="U14" s="254">
        <f t="shared" si="4"/>
        <v>1105091.2977752872</v>
      </c>
      <c r="V14" s="254">
        <f t="shared" si="5"/>
        <v>109164.41083333334</v>
      </c>
      <c r="W14" s="252">
        <f t="shared" si="6"/>
        <v>2331000</v>
      </c>
      <c r="X14" s="252">
        <f t="shared" si="2"/>
        <v>0</v>
      </c>
      <c r="Y14" s="252">
        <f t="shared" si="1"/>
        <v>4101445.7810197771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1413.0249999999999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5248629.5145002212</v>
      </c>
      <c r="T15" s="252"/>
      <c r="U15" s="254">
        <f t="shared" si="4"/>
        <v>1124300.3919234145</v>
      </c>
      <c r="V15" s="254">
        <f t="shared" si="5"/>
        <v>123759.32666666668</v>
      </c>
      <c r="W15" s="252">
        <f t="shared" si="6"/>
        <v>2331000</v>
      </c>
      <c r="X15" s="252">
        <f t="shared" si="2"/>
        <v>0</v>
      </c>
      <c r="Y15" s="252">
        <f t="shared" si="1"/>
        <v>4165689.2330903029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-1553.0399999999995</v>
      </c>
      <c r="F16" s="391"/>
      <c r="G16" s="544" t="s">
        <v>217</v>
      </c>
      <c r="H16" s="539">
        <f>C16/E51</f>
        <v>5.1297297297297297E-2</v>
      </c>
      <c r="I16" s="542">
        <f>(D16-M31)/E51*12</f>
        <v>3.7953405405405406E-2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5279246.5200014729</v>
      </c>
      <c r="T16" s="252"/>
      <c r="U16" s="254">
        <f t="shared" si="4"/>
        <v>1143669.5618561096</v>
      </c>
      <c r="V16" s="254">
        <f t="shared" si="5"/>
        <v>138354.24250000002</v>
      </c>
      <c r="W16" s="252">
        <f t="shared" si="6"/>
        <v>2331000</v>
      </c>
      <c r="X16" s="252">
        <f t="shared" si="2"/>
        <v>0</v>
      </c>
      <c r="Y16" s="252">
        <f t="shared" si="1"/>
        <v>4230270.3243575823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-1290.8066666666668</v>
      </c>
      <c r="F17" s="391"/>
      <c r="G17" s="544" t="s">
        <v>244</v>
      </c>
      <c r="H17" s="539">
        <f>C17/E52</f>
        <v>5.525E-2</v>
      </c>
      <c r="I17" s="542">
        <f>(D17-M32)/E52*12</f>
        <v>4.2334900000000002E-2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5310042.1247014813</v>
      </c>
      <c r="T17" s="252">
        <f>$V$4</f>
        <v>2000000</v>
      </c>
      <c r="U17" s="254">
        <f t="shared" si="4"/>
        <v>1163200.141538244</v>
      </c>
      <c r="V17" s="254">
        <f t="shared" si="5"/>
        <v>152949.15833333335</v>
      </c>
      <c r="W17" s="252">
        <f t="shared" si="6"/>
        <v>2331000</v>
      </c>
      <c r="X17" s="252">
        <f t="shared" si="2"/>
        <v>2000000</v>
      </c>
      <c r="Y17" s="252">
        <f t="shared" si="1"/>
        <v>6295191.4245730583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7341017.3704289068</v>
      </c>
      <c r="T18" s="252"/>
      <c r="U18" s="254">
        <f t="shared" si="4"/>
        <v>1182893.4760510626</v>
      </c>
      <c r="V18" s="254">
        <f t="shared" si="5"/>
        <v>167544.07416666669</v>
      </c>
      <c r="W18" s="252">
        <f t="shared" si="6"/>
        <v>4331000</v>
      </c>
      <c r="X18" s="252">
        <f t="shared" si="2"/>
        <v>0</v>
      </c>
      <c r="Y18" s="252">
        <f t="shared" si="1"/>
        <v>4360454.9206466358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SUM(E16:E18+E14)*0.4*-12</f>
        <v>20509.567999999999</v>
      </c>
      <c r="D19" s="535">
        <f>C19/12</f>
        <v>1709.1306666666667</v>
      </c>
      <c r="E19" s="534"/>
      <c r="F19" s="391"/>
      <c r="G19" s="547" t="s">
        <v>56</v>
      </c>
      <c r="H19" s="548" t="s">
        <v>57</v>
      </c>
      <c r="I19" s="549">
        <f>SUM(D6:D18)</f>
        <v>36636.333333333336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7383839.9717564089</v>
      </c>
      <c r="T19" s="252"/>
      <c r="U19" s="254">
        <f t="shared" si="4"/>
        <v>1202750.9216848214</v>
      </c>
      <c r="V19" s="254">
        <f t="shared" si="5"/>
        <v>182138.99000000002</v>
      </c>
      <c r="W19" s="252">
        <f t="shared" si="6"/>
        <v>4331000</v>
      </c>
      <c r="X19" s="252">
        <f t="shared" si="2"/>
        <v>0</v>
      </c>
      <c r="Y19" s="252">
        <f t="shared" si="1"/>
        <v>4437729.8834412303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7426912.3715916546</v>
      </c>
      <c r="T20" s="252"/>
      <c r="U20" s="254">
        <f t="shared" si="4"/>
        <v>1222773.8460321948</v>
      </c>
      <c r="V20" s="254">
        <f t="shared" si="5"/>
        <v>196733.90583333335</v>
      </c>
      <c r="W20" s="252">
        <f t="shared" si="6"/>
        <v>4331000</v>
      </c>
      <c r="X20" s="252">
        <f t="shared" si="2"/>
        <v>0</v>
      </c>
      <c r="Y20" s="252">
        <f t="shared" si="1"/>
        <v>4515420.1234571822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7470236.0270926058</v>
      </c>
      <c r="T21" s="252"/>
      <c r="U21" s="254">
        <f t="shared" si="4"/>
        <v>1242963.6280824631</v>
      </c>
      <c r="V21" s="254">
        <f t="shared" si="5"/>
        <v>211328.82166666668</v>
      </c>
      <c r="W21" s="252">
        <f t="shared" si="6"/>
        <v>4331000</v>
      </c>
      <c r="X21" s="252">
        <f t="shared" si="2"/>
        <v>0</v>
      </c>
      <c r="Y21" s="252">
        <f t="shared" si="1"/>
        <v>4593528.4768417366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0</v>
      </c>
      <c r="D22" s="409">
        <f>PMT(M22/12, 25*12, -M75)</f>
        <v>0</v>
      </c>
      <c r="E22" s="410"/>
      <c r="F22" s="402"/>
      <c r="G22" s="406"/>
      <c r="H22" s="201"/>
      <c r="I22" s="407"/>
      <c r="K22" s="205"/>
      <c r="L22" s="212" t="s">
        <v>118</v>
      </c>
      <c r="M22" s="225">
        <v>5.9900000000000002E-2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7513812.4039173126</v>
      </c>
      <c r="T22" s="252"/>
      <c r="U22" s="254">
        <f t="shared" si="4"/>
        <v>1263321.6583164835</v>
      </c>
      <c r="V22" s="254">
        <f t="shared" si="5"/>
        <v>225923.73750000002</v>
      </c>
      <c r="W22" s="252">
        <f t="shared" si="6"/>
        <v>4331000</v>
      </c>
      <c r="X22" s="252">
        <f t="shared" si="2"/>
        <v>0</v>
      </c>
      <c r="Y22" s="252">
        <f t="shared" si="1"/>
        <v>4672057.7997337971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37955.919999999998</v>
      </c>
      <c r="D23" s="409">
        <f>M23*I49/12+(M29)</f>
        <v>3162.9933333333329</v>
      </c>
      <c r="E23" s="410"/>
      <c r="F23" s="402"/>
      <c r="G23" s="406"/>
      <c r="H23" s="201"/>
      <c r="I23" s="407"/>
      <c r="K23" s="205"/>
      <c r="L23" s="212" t="s">
        <v>167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7557642.9762734976</v>
      </c>
      <c r="T23" s="252"/>
      <c r="U23" s="254">
        <f t="shared" si="4"/>
        <v>1283849.3388024541</v>
      </c>
      <c r="V23" s="254">
        <f t="shared" si="5"/>
        <v>240518.65333333335</v>
      </c>
      <c r="W23" s="252">
        <f t="shared" si="6"/>
        <v>4331000</v>
      </c>
      <c r="X23" s="252">
        <f t="shared" si="2"/>
        <v>0</v>
      </c>
      <c r="Y23" s="252">
        <f t="shared" si="1"/>
        <v>4751010.9684092868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22199.7</v>
      </c>
      <c r="D24" s="409">
        <f>M24*I50/12+(M30)</f>
        <v>1849.9750000000001</v>
      </c>
      <c r="E24" s="411"/>
      <c r="F24" s="412"/>
      <c r="G24" s="413" t="s">
        <v>86</v>
      </c>
      <c r="H24" s="376">
        <f>I19-I32</f>
        <v>14594.915833333336</v>
      </c>
      <c r="I24" s="407"/>
      <c r="K24" s="205"/>
      <c r="L24" s="212" t="s">
        <v>168</v>
      </c>
      <c r="M24" s="225">
        <f>M23</f>
        <v>5.9900000000000002E-2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7601729.2269684263</v>
      </c>
      <c r="T24" s="252"/>
      <c r="U24" s="254">
        <f t="shared" si="4"/>
        <v>1304548.0832924745</v>
      </c>
      <c r="V24" s="254">
        <f t="shared" si="5"/>
        <v>255113.56916666668</v>
      </c>
      <c r="W24" s="252">
        <f t="shared" si="6"/>
        <v>4331000</v>
      </c>
      <c r="X24" s="252">
        <f t="shared" si="2"/>
        <v>0</v>
      </c>
      <c r="Y24" s="252">
        <f t="shared" si="1"/>
        <v>4830390.8794275671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56596.479999999996</v>
      </c>
      <c r="D25" s="409">
        <f>M25*I51/12+(M31)</f>
        <v>4716.373333333333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5.9900000000000002E-2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7646072.6474590758</v>
      </c>
      <c r="T25" s="252"/>
      <c r="U25" s="254">
        <f t="shared" si="4"/>
        <v>1325419.3173199117</v>
      </c>
      <c r="V25" s="254">
        <f t="shared" si="5"/>
        <v>269708.48500000004</v>
      </c>
      <c r="W25" s="252">
        <f t="shared" si="6"/>
        <v>4331000</v>
      </c>
      <c r="X25" s="252">
        <f t="shared" si="2"/>
        <v>0</v>
      </c>
      <c r="Y25" s="252">
        <f t="shared" si="1"/>
        <v>4910200.4497789871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59689.680000000008</v>
      </c>
      <c r="D26" s="409">
        <f>M26*I52/12+(M32)</f>
        <v>4974.1400000000003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5.9900000000000002E-2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7690674.7379025873</v>
      </c>
      <c r="T26" s="252"/>
      <c r="U26" s="254">
        <f t="shared" si="4"/>
        <v>1346464.4782975775</v>
      </c>
      <c r="V26" s="254">
        <f t="shared" si="5"/>
        <v>284303.40083333338</v>
      </c>
      <c r="W26" s="252">
        <f t="shared" si="6"/>
        <v>4331000</v>
      </c>
      <c r="X26" s="252">
        <f t="shared" si="2"/>
        <v>0</v>
      </c>
      <c r="Y26" s="252">
        <f t="shared" si="1"/>
        <v>4990442.6170334984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5.9900000000000002E-2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7735537.0072070193</v>
      </c>
      <c r="T27" s="252"/>
      <c r="U27" s="254">
        <f t="shared" si="4"/>
        <v>1367685.0156167238</v>
      </c>
      <c r="V27" s="254">
        <f t="shared" si="5"/>
        <v>298898.31666666671</v>
      </c>
      <c r="W27" s="252">
        <f t="shared" si="6"/>
        <v>4331000</v>
      </c>
      <c r="X27" s="252">
        <f t="shared" si="2"/>
        <v>0</v>
      </c>
      <c r="Y27" s="252">
        <f t="shared" si="1"/>
        <v>5071120.3394904099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7780660.9730823934</v>
      </c>
      <c r="T28" s="252">
        <f>$V$4</f>
        <v>2000000</v>
      </c>
      <c r="U28" s="254">
        <f t="shared" si="4"/>
        <v>1389082.3907468631</v>
      </c>
      <c r="V28" s="254">
        <f t="shared" si="5"/>
        <v>313493.23250000004</v>
      </c>
      <c r="W28" s="252">
        <f t="shared" si="6"/>
        <v>4331000</v>
      </c>
      <c r="X28" s="252">
        <f t="shared" si="2"/>
        <v>2000000</v>
      </c>
      <c r="Y28" s="252">
        <f t="shared" si="1"/>
        <v>7152236.5963292569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9826048.1620920412</v>
      </c>
      <c r="T29" s="252"/>
      <c r="U29" s="254">
        <f t="shared" si="4"/>
        <v>1410658.0773364203</v>
      </c>
      <c r="V29" s="254">
        <f t="shared" si="5"/>
        <v>328088.14833333337</v>
      </c>
      <c r="W29" s="252">
        <f t="shared" si="6"/>
        <v>6331000</v>
      </c>
      <c r="X29" s="252">
        <f t="shared" si="2"/>
        <v>0</v>
      </c>
      <c r="Y29" s="252">
        <f t="shared" si="1"/>
        <v>5233794.387761794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9883366.7763709109</v>
      </c>
      <c r="T30" s="252"/>
      <c r="U30" s="254">
        <f t="shared" si="4"/>
        <v>1432413.5613142238</v>
      </c>
      <c r="V30" s="254">
        <f t="shared" si="5"/>
        <v>342683.06416666671</v>
      </c>
      <c r="W30" s="252">
        <f t="shared" si="6"/>
        <v>6331000</v>
      </c>
      <c r="X30" s="252">
        <f t="shared" si="2"/>
        <v>0</v>
      </c>
      <c r="Y30" s="252">
        <f t="shared" si="1"/>
        <v>5327463.4018518012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9941019.7492330745</v>
      </c>
      <c r="T31" s="252"/>
      <c r="U31" s="254">
        <f t="shared" si="4"/>
        <v>1454350.3409918423</v>
      </c>
      <c r="V31" s="254">
        <f t="shared" si="5"/>
        <v>357277.98000000004</v>
      </c>
      <c r="W31" s="252">
        <f t="shared" si="6"/>
        <v>6331000</v>
      </c>
      <c r="X31" s="252">
        <f t="shared" si="2"/>
        <v>0</v>
      </c>
      <c r="Y31" s="252">
        <f t="shared" si="1"/>
        <v>5421648.0702249166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22041.4175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9999009.0311036017</v>
      </c>
      <c r="T32" s="252"/>
      <c r="U32" s="254">
        <f t="shared" si="4"/>
        <v>1476469.9271667744</v>
      </c>
      <c r="V32" s="254">
        <f t="shared" si="5"/>
        <v>371872.89583333337</v>
      </c>
      <c r="W32" s="252">
        <f t="shared" si="6"/>
        <v>6331000</v>
      </c>
      <c r="X32" s="252">
        <f t="shared" si="2"/>
        <v>0</v>
      </c>
      <c r="Y32" s="252">
        <f t="shared" si="1"/>
        <v>5516351.8541037105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10057336.58378504</v>
      </c>
      <c r="T33" s="252"/>
      <c r="U33" s="254">
        <f t="shared" si="4"/>
        <v>1498773.8432264975</v>
      </c>
      <c r="V33" s="254">
        <f t="shared" si="5"/>
        <v>386467.8116666667</v>
      </c>
      <c r="W33" s="252">
        <f t="shared" si="6"/>
        <v>6331000</v>
      </c>
      <c r="X33" s="252">
        <f t="shared" si="2"/>
        <v>0</v>
      </c>
      <c r="Y33" s="252">
        <f t="shared" si="1"/>
        <v>5611578.2386782058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10116004.380523786</v>
      </c>
      <c r="T34" s="252"/>
      <c r="U34" s="254">
        <f t="shared" si="4"/>
        <v>1521263.6252533849</v>
      </c>
      <c r="V34" s="254">
        <f t="shared" si="5"/>
        <v>401062.72750000004</v>
      </c>
      <c r="W34" s="252">
        <f t="shared" si="6"/>
        <v>6331000</v>
      </c>
      <c r="X34" s="252">
        <f t="shared" si="2"/>
        <v>0</v>
      </c>
      <c r="Y34" s="252">
        <f t="shared" si="1"/>
        <v>5707330.7332771719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10175014.406076841</v>
      </c>
      <c r="T35" s="252"/>
      <c r="U35" s="254">
        <f t="shared" si="4"/>
        <v>1543940.8221304964</v>
      </c>
      <c r="V35" s="254">
        <f t="shared" si="5"/>
        <v>415657.64333333337</v>
      </c>
      <c r="W35" s="252">
        <f t="shared" si="6"/>
        <v>6331000</v>
      </c>
      <c r="X35" s="252">
        <f t="shared" si="2"/>
        <v>0</v>
      </c>
      <c r="Y35" s="252">
        <f t="shared" si="1"/>
        <v>5803612.8715406694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10234368.656778956</v>
      </c>
      <c r="T36" s="252"/>
      <c r="U36" s="254">
        <f t="shared" si="4"/>
        <v>1566806.9956482504</v>
      </c>
      <c r="V36" s="254">
        <f t="shared" si="5"/>
        <v>430252.5591666667</v>
      </c>
      <c r="W36" s="252">
        <f t="shared" si="6"/>
        <v>6331000</v>
      </c>
      <c r="X36" s="252">
        <f t="shared" si="2"/>
        <v>0</v>
      </c>
      <c r="Y36" s="252">
        <f t="shared" si="1"/>
        <v>5900428.2115938719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10294069.140610166</v>
      </c>
      <c r="T37" s="252"/>
      <c r="U37" s="254">
        <f t="shared" si="4"/>
        <v>1589863.7206119858</v>
      </c>
      <c r="V37" s="254">
        <f t="shared" si="5"/>
        <v>444847.47500000003</v>
      </c>
      <c r="W37" s="252">
        <f t="shared" si="6"/>
        <v>6331000</v>
      </c>
      <c r="X37" s="252">
        <f t="shared" si="2"/>
        <v>0</v>
      </c>
      <c r="Y37" s="252">
        <f t="shared" si="1"/>
        <v>5997780.3362221513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7000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10354117.877263725</v>
      </c>
      <c r="T38" s="252"/>
      <c r="U38" s="254">
        <f t="shared" si="4"/>
        <v>1613112.5849504189</v>
      </c>
      <c r="V38" s="254">
        <f t="shared" si="5"/>
        <v>459442.39083333337</v>
      </c>
      <c r="W38" s="252">
        <f t="shared" si="6"/>
        <v>6331000</v>
      </c>
      <c r="X38" s="252">
        <f t="shared" si="2"/>
        <v>0</v>
      </c>
      <c r="Y38" s="252">
        <f t="shared" si="1"/>
        <v>6095672.8530474771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75000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10414516.89821443</v>
      </c>
      <c r="T39" s="252"/>
      <c r="U39" s="254">
        <f t="shared" si="4"/>
        <v>1636555.1898250056</v>
      </c>
      <c r="V39" s="254">
        <f t="shared" si="5"/>
        <v>474037.3066666667</v>
      </c>
      <c r="W39" s="252">
        <f t="shared" si="6"/>
        <v>6331000</v>
      </c>
      <c r="X39" s="252">
        <f t="shared" si="2"/>
        <v>0</v>
      </c>
      <c r="Y39" s="252">
        <f t="shared" si="1"/>
        <v>6194109.3947061021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10475268.246787347</v>
      </c>
      <c r="T40" s="252">
        <f>$V$4</f>
        <v>2000000</v>
      </c>
      <c r="U40" s="254">
        <f t="shared" si="4"/>
        <v>1660193.149740214</v>
      </c>
      <c r="V40" s="254">
        <f t="shared" si="5"/>
        <v>488632.22250000003</v>
      </c>
      <c r="W40" s="252">
        <f t="shared" si="6"/>
        <v>6331000</v>
      </c>
      <c r="X40" s="252">
        <f t="shared" si="2"/>
        <v>2000000</v>
      </c>
      <c r="Y40" s="252">
        <f t="shared" si="1"/>
        <v>8293093.6190275606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210000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12536373.978226939</v>
      </c>
      <c r="T41" s="252"/>
      <c r="U41" s="254">
        <f t="shared" si="4"/>
        <v>1684028.0926547158</v>
      </c>
      <c r="V41" s="254">
        <f t="shared" si="5"/>
        <v>503227.13833333337</v>
      </c>
      <c r="W41" s="252">
        <f t="shared" si="6"/>
        <v>8331000</v>
      </c>
      <c r="X41" s="252">
        <f t="shared" si="2"/>
        <v>0</v>
      </c>
      <c r="Y41" s="252">
        <f t="shared" si="1"/>
        <v>6392629.2092149891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142000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12609502.826433264</v>
      </c>
      <c r="T42" s="252"/>
      <c r="U42" s="254">
        <f t="shared" si="4"/>
        <v>1708061.6600935049</v>
      </c>
      <c r="V42" s="254">
        <f t="shared" si="5"/>
        <v>517822.0541666667</v>
      </c>
      <c r="W42" s="252">
        <f t="shared" si="6"/>
        <v>8331000</v>
      </c>
      <c r="X42" s="252">
        <f t="shared" si="2"/>
        <v>0</v>
      </c>
      <c r="Y42" s="252">
        <f t="shared" si="1"/>
        <v>6504386.5406934358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623000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12683058.259587457</v>
      </c>
      <c r="T43" s="252"/>
      <c r="U43" s="254">
        <f t="shared" si="4"/>
        <v>1732295.5072609507</v>
      </c>
      <c r="V43" s="254">
        <f t="shared" si="5"/>
        <v>532416.97000000009</v>
      </c>
      <c r="W43" s="252">
        <f t="shared" si="6"/>
        <v>8331000</v>
      </c>
      <c r="X43" s="252">
        <f t="shared" si="2"/>
        <v>0</v>
      </c>
      <c r="Y43" s="252">
        <f t="shared" si="1"/>
        <v>6616770.7368484084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12757042.766101718</v>
      </c>
      <c r="T44" s="252"/>
      <c r="U44" s="254">
        <f t="shared" si="4"/>
        <v>1756731.3031547919</v>
      </c>
      <c r="V44" s="254">
        <f t="shared" si="5"/>
        <v>547011.88583333348</v>
      </c>
      <c r="W44" s="252">
        <f t="shared" si="6"/>
        <v>8331000</v>
      </c>
      <c r="X44" s="252">
        <f t="shared" si="2"/>
        <v>0</v>
      </c>
      <c r="Y44" s="252">
        <f t="shared" si="1"/>
        <v>6729785.9550898448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12831458.848903978</v>
      </c>
      <c r="T45" s="252"/>
      <c r="U45" s="254">
        <f t="shared" si="4"/>
        <v>1781370.7306810818</v>
      </c>
      <c r="V45" s="254">
        <f t="shared" si="5"/>
        <v>561606.80166666687</v>
      </c>
      <c r="W45" s="252">
        <f t="shared" si="6"/>
        <v>8331000</v>
      </c>
      <c r="X45" s="252">
        <f t="shared" si="2"/>
        <v>0</v>
      </c>
      <c r="Y45" s="252">
        <f t="shared" si="1"/>
        <v>6843436.3812517282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12906309.025522586</v>
      </c>
      <c r="T46" s="252"/>
      <c r="U46" s="254">
        <f t="shared" si="4"/>
        <v>1806215.4867700906</v>
      </c>
      <c r="V46" s="254">
        <f t="shared" si="5"/>
        <v>576201.71750000026</v>
      </c>
      <c r="W46" s="252">
        <f t="shared" si="6"/>
        <v>8331000</v>
      </c>
      <c r="X46" s="252">
        <f t="shared" si="2"/>
        <v>0</v>
      </c>
      <c r="Y46" s="252">
        <f t="shared" si="1"/>
        <v>6957726.2297926769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12981595.828171467</v>
      </c>
      <c r="T47" s="252"/>
      <c r="U47" s="254">
        <f t="shared" si="4"/>
        <v>1831267.2824931748</v>
      </c>
      <c r="V47" s="254">
        <f t="shared" si="5"/>
        <v>590796.63333333365</v>
      </c>
      <c r="W47" s="252">
        <f t="shared" si="6"/>
        <v>8331000</v>
      </c>
      <c r="X47" s="252">
        <f t="shared" si="2"/>
        <v>0</v>
      </c>
      <c r="Y47" s="252">
        <f t="shared" si="1"/>
        <v>7072659.7439979743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1900000</v>
      </c>
      <c r="E48" s="433">
        <f t="shared" ref="E48:E53" si="10">M62</f>
        <v>1900000</v>
      </c>
      <c r="F48" s="366"/>
      <c r="G48" s="365" t="s">
        <v>6</v>
      </c>
      <c r="H48" s="201"/>
      <c r="I48" s="434">
        <f>M75</f>
        <v>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13057321.803835802</v>
      </c>
      <c r="T48" s="252"/>
      <c r="U48" s="254">
        <f t="shared" si="4"/>
        <v>1856527.8431806178</v>
      </c>
      <c r="V48" s="254">
        <f t="shared" si="5"/>
        <v>605391.54916666704</v>
      </c>
      <c r="W48" s="252">
        <f t="shared" si="6"/>
        <v>8331000</v>
      </c>
      <c r="X48" s="252">
        <f t="shared" si="2"/>
        <v>0</v>
      </c>
      <c r="Y48" s="252">
        <f t="shared" si="1"/>
        <v>7188241.1961830854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478000</v>
      </c>
      <c r="E49" s="433">
        <f t="shared" si="10"/>
        <v>990000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13133489.514358178</v>
      </c>
      <c r="T49" s="252"/>
      <c r="U49" s="254">
        <f t="shared" si="4"/>
        <v>1881998.9085404563</v>
      </c>
      <c r="V49" s="254">
        <f t="shared" si="5"/>
        <v>619986.46500000043</v>
      </c>
      <c r="W49" s="252">
        <f t="shared" si="6"/>
        <v>8331000</v>
      </c>
      <c r="X49" s="252">
        <f t="shared" si="2"/>
        <v>0</v>
      </c>
      <c r="Y49" s="252">
        <f t="shared" si="1"/>
        <v>7304474.8878986333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377000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203000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13210101.536525268</v>
      </c>
      <c r="T50" s="252"/>
      <c r="U50" s="254">
        <f t="shared" si="4"/>
        <v>1907682.2327782933</v>
      </c>
      <c r="V50" s="254">
        <f t="shared" si="5"/>
        <v>634581.38083333382</v>
      </c>
      <c r="W50" s="252">
        <f t="shared" si="6"/>
        <v>8331000</v>
      </c>
      <c r="X50" s="252">
        <f t="shared" si="2"/>
        <v>0</v>
      </c>
      <c r="Y50" s="252">
        <f t="shared" si="1"/>
        <v>7421365.1501368955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-40000</v>
      </c>
      <c r="E51" s="433">
        <f t="shared" si="10"/>
        <v>740000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13287160.462154999</v>
      </c>
      <c r="T51" s="252"/>
      <c r="U51" s="254">
        <f t="shared" si="4"/>
        <v>1933579.5847181124</v>
      </c>
      <c r="V51" s="254">
        <f t="shared" si="5"/>
        <v>649176.29666666721</v>
      </c>
      <c r="W51" s="252">
        <f t="shared" si="6"/>
        <v>8331000</v>
      </c>
      <c r="X51" s="252">
        <f t="shared" si="2"/>
        <v>0</v>
      </c>
      <c r="Y51" s="252">
        <f t="shared" si="1"/>
        <v>7538916.3435397781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-24000</v>
      </c>
      <c r="E52" s="433">
        <f t="shared" si="10"/>
        <v>800000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7000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13364668.898184238</v>
      </c>
      <c r="T52" s="252">
        <f>$V$4</f>
        <v>2000000</v>
      </c>
      <c r="U52" s="254">
        <f t="shared" si="4"/>
        <v>1959692.7479240966</v>
      </c>
      <c r="V52" s="254">
        <f t="shared" si="5"/>
        <v>663771.21250000061</v>
      </c>
      <c r="W52" s="252">
        <f t="shared" si="6"/>
        <v>8331000</v>
      </c>
      <c r="X52" s="252">
        <f t="shared" si="2"/>
        <v>2000000</v>
      </c>
      <c r="Y52" s="252">
        <f t="shared" si="1"/>
        <v>9657132.8586083353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>
        <v>75000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15442629.466756979</v>
      </c>
      <c r="T53" s="252"/>
      <c r="U53" s="254">
        <f t="shared" si="4"/>
        <v>1986023.520823464</v>
      </c>
      <c r="V53" s="254">
        <f t="shared" si="5"/>
        <v>678366.128333334</v>
      </c>
      <c r="W53" s="252">
        <f t="shared" si="6"/>
        <v>10331000</v>
      </c>
      <c r="X53" s="252">
        <f t="shared" si="2"/>
        <v>0</v>
      </c>
      <c r="Y53" s="252">
        <f t="shared" si="1"/>
        <v>7776019.1159137785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15532711.471979728</v>
      </c>
      <c r="T54" s="252"/>
      <c r="U54" s="254">
        <f t="shared" si="4"/>
        <v>2012573.7168303262</v>
      </c>
      <c r="V54" s="254">
        <f t="shared" si="5"/>
        <v>692961.04416666739</v>
      </c>
      <c r="W54" s="252">
        <f t="shared" si="6"/>
        <v>10331000</v>
      </c>
      <c r="X54" s="252">
        <f t="shared" si="2"/>
        <v>0</v>
      </c>
      <c r="Y54" s="252">
        <f t="shared" si="1"/>
        <v>7907246.2329767197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210000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15623318.955566276</v>
      </c>
      <c r="T55" s="252"/>
      <c r="U55" s="254">
        <f t="shared" si="4"/>
        <v>2039345.164470579</v>
      </c>
      <c r="V55" s="254">
        <f t="shared" si="5"/>
        <v>707555.96000000078</v>
      </c>
      <c r="W55" s="252">
        <f t="shared" si="6"/>
        <v>10331000</v>
      </c>
      <c r="X55" s="252">
        <f t="shared" si="2"/>
        <v>0</v>
      </c>
      <c r="Y55" s="252">
        <f t="shared" si="1"/>
        <v>8039220.0800368562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6487000</v>
      </c>
      <c r="F56" s="366"/>
      <c r="G56" s="441"/>
      <c r="H56" s="420"/>
      <c r="I56" s="442"/>
      <c r="J56" s="18"/>
      <c r="K56" s="205"/>
      <c r="L56" s="212" t="s">
        <v>80</v>
      </c>
      <c r="M56" s="223">
        <v>142000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15714454.982807079</v>
      </c>
      <c r="T56" s="252"/>
      <c r="U56" s="254">
        <f t="shared" si="4"/>
        <v>2066339.7075078338</v>
      </c>
      <c r="V56" s="254">
        <f t="shared" si="5"/>
        <v>722150.87583333417</v>
      </c>
      <c r="W56" s="252">
        <f t="shared" si="6"/>
        <v>10331000</v>
      </c>
      <c r="X56" s="252">
        <f t="shared" si="2"/>
        <v>0</v>
      </c>
      <c r="Y56" s="252">
        <f t="shared" si="1"/>
        <v>8171945.5661482438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6067000</v>
      </c>
      <c r="F57" s="416"/>
      <c r="G57" s="553" t="s">
        <v>59</v>
      </c>
      <c r="H57" s="554"/>
      <c r="I57" s="555">
        <f>SUM(I38:I56)</f>
        <v>2331000</v>
      </c>
      <c r="K57" s="205"/>
      <c r="L57" s="212" t="s">
        <v>81</v>
      </c>
      <c r="M57" s="223">
        <v>623000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15806122.636873454</v>
      </c>
      <c r="T57" s="252"/>
      <c r="U57" s="254">
        <f t="shared" si="4"/>
        <v>2093559.205070399</v>
      </c>
      <c r="V57" s="254">
        <f t="shared" si="5"/>
        <v>736745.79166666756</v>
      </c>
      <c r="W57" s="252">
        <f t="shared" si="6"/>
        <v>10331000</v>
      </c>
      <c r="X57" s="252">
        <f t="shared" si="2"/>
        <v>0</v>
      </c>
      <c r="Y57" s="252">
        <f t="shared" si="1"/>
        <v>8305427.6336105205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15898325.018921882</v>
      </c>
      <c r="T58" s="252"/>
      <c r="U58" s="254">
        <f t="shared" si="4"/>
        <v>2121005.531779319</v>
      </c>
      <c r="V58" s="254">
        <f t="shared" si="5"/>
        <v>751340.70750000095</v>
      </c>
      <c r="W58" s="252">
        <f t="shared" si="6"/>
        <v>10331000</v>
      </c>
      <c r="X58" s="252">
        <f t="shared" si="2"/>
        <v>0</v>
      </c>
      <c r="Y58" s="252">
        <f t="shared" si="1"/>
        <v>8439671.2582012005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15991065.248198926</v>
      </c>
      <c r="T59" s="252"/>
      <c r="U59" s="254">
        <f t="shared" si="4"/>
        <v>2148680.5778774801</v>
      </c>
      <c r="V59" s="254">
        <f t="shared" si="5"/>
        <v>765935.62333333434</v>
      </c>
      <c r="W59" s="252">
        <f t="shared" si="6"/>
        <v>10331000</v>
      </c>
      <c r="X59" s="252">
        <f t="shared" si="2"/>
        <v>0</v>
      </c>
      <c r="Y59" s="252">
        <f t="shared" si="1"/>
        <v>8574681.4494097419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16084346.462146753</v>
      </c>
      <c r="T60" s="252"/>
      <c r="U60" s="254">
        <f t="shared" si="4"/>
        <v>2176586.2493597926</v>
      </c>
      <c r="V60" s="254">
        <f t="shared" si="5"/>
        <v>780530.53916666773</v>
      </c>
      <c r="W60" s="252">
        <f t="shared" si="6"/>
        <v>10331000</v>
      </c>
      <c r="X60" s="252">
        <f t="shared" si="2"/>
        <v>0</v>
      </c>
      <c r="Y60" s="252">
        <f t="shared" si="1"/>
        <v>8710463.2506732121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16178171.816509277</v>
      </c>
      <c r="T61" s="252"/>
      <c r="U61" s="254">
        <f t="shared" si="4"/>
        <v>2204724.4681044575</v>
      </c>
      <c r="V61" s="254">
        <f t="shared" si="5"/>
        <v>795125.45500000112</v>
      </c>
      <c r="W61" s="252">
        <f t="shared" si="6"/>
        <v>10331000</v>
      </c>
      <c r="X61" s="252">
        <f t="shared" si="2"/>
        <v>0</v>
      </c>
      <c r="Y61" s="252">
        <f t="shared" si="1"/>
        <v>8847021.7396137379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1900000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16272544.485438915</v>
      </c>
      <c r="T62" s="252"/>
      <c r="U62" s="254">
        <f t="shared" si="4"/>
        <v>2233097.1720053279</v>
      </c>
      <c r="V62" s="254">
        <f t="shared" si="5"/>
        <v>809720.37083333451</v>
      </c>
      <c r="W62" s="252">
        <f t="shared" si="6"/>
        <v>10331000</v>
      </c>
      <c r="X62" s="252">
        <f t="shared" si="2"/>
        <v>0</v>
      </c>
      <c r="Y62" s="252">
        <f t="shared" si="1"/>
        <v>8984362.028277576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990000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16367467.661603976</v>
      </c>
      <c r="T63" s="252"/>
      <c r="U63" s="254">
        <f t="shared" si="4"/>
        <v>2261706.3151053721</v>
      </c>
      <c r="V63" s="254">
        <f t="shared" si="5"/>
        <v>824315.2866666679</v>
      </c>
      <c r="W63" s="252">
        <f t="shared" si="6"/>
        <v>10331000</v>
      </c>
      <c r="X63" s="252">
        <f t="shared" si="2"/>
        <v>0</v>
      </c>
      <c r="Y63" s="252">
        <f t="shared" si="1"/>
        <v>9122489.2633760162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16462944.556296667</v>
      </c>
      <c r="T64" s="252">
        <f>$V$4</f>
        <v>2000000</v>
      </c>
      <c r="U64" s="254">
        <f t="shared" si="4"/>
        <v>2290553.8677312504</v>
      </c>
      <c r="V64" s="254">
        <f t="shared" si="5"/>
        <v>838910.20250000129</v>
      </c>
      <c r="W64" s="252">
        <f t="shared" si="6"/>
        <v>10331000</v>
      </c>
      <c r="X64" s="252">
        <f t="shared" si="2"/>
        <v>2000000</v>
      </c>
      <c r="Y64" s="252">
        <f t="shared" si="1"/>
        <v>11261408.62652792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3736000</v>
      </c>
      <c r="E65" s="200"/>
      <c r="F65" s="201"/>
      <c r="G65" s="202" t="s">
        <v>158</v>
      </c>
      <c r="H65" s="203" t="s">
        <v>114</v>
      </c>
      <c r="I65" s="204">
        <f>I19-I32</f>
        <v>14594.915833333336</v>
      </c>
      <c r="J65" s="18"/>
      <c r="K65" s="205"/>
      <c r="L65" s="212" t="s">
        <v>214</v>
      </c>
      <c r="M65" s="223">
        <v>740000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18558978.399541732</v>
      </c>
      <c r="T65" s="252"/>
      <c r="U65" s="254">
        <f t="shared" si="4"/>
        <v>2319641.8166290107</v>
      </c>
      <c r="V65" s="254">
        <f t="shared" si="5"/>
        <v>853505.11833333469</v>
      </c>
      <c r="W65" s="252">
        <f t="shared" si="6"/>
        <v>12331000</v>
      </c>
      <c r="X65" s="252">
        <f t="shared" si="2"/>
        <v>0</v>
      </c>
      <c r="Y65" s="252">
        <f t="shared" si="1"/>
        <v>9401125.3345040791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800000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18667239.106872391</v>
      </c>
      <c r="T66" s="252"/>
      <c r="U66" s="254">
        <f t="shared" si="4"/>
        <v>2348972.1651009191</v>
      </c>
      <c r="V66" s="254">
        <f t="shared" si="5"/>
        <v>868100.03416666808</v>
      </c>
      <c r="W66" s="252">
        <f t="shared" si="6"/>
        <v>12331000</v>
      </c>
      <c r="X66" s="252">
        <f t="shared" si="2"/>
        <v>0</v>
      </c>
      <c r="Y66" s="252">
        <f t="shared" si="1"/>
        <v>9553311.3061399795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4156000</v>
      </c>
      <c r="E67" s="459"/>
      <c r="F67" s="366"/>
      <c r="G67" s="461" t="s">
        <v>113</v>
      </c>
      <c r="H67" s="461" t="s">
        <v>115</v>
      </c>
      <c r="I67" s="462">
        <f>I65*12</f>
        <v>175138.99000000005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1836000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12259.729300000005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2319000</v>
      </c>
      <c r="E72" s="464"/>
      <c r="F72" s="201"/>
      <c r="G72" s="195" t="s">
        <v>1</v>
      </c>
      <c r="H72" s="195" t="s">
        <v>114</v>
      </c>
      <c r="I72" s="196">
        <f>H5</f>
        <v>15345.464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5010000</v>
      </c>
      <c r="E74" s="464"/>
      <c r="F74" s="201"/>
      <c r="G74" s="195" t="s">
        <v>251</v>
      </c>
      <c r="H74" s="195" t="s">
        <v>114</v>
      </c>
      <c r="I74" s="196">
        <f>I32-H5</f>
        <v>6695.9534999999996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448350.00000000006</v>
      </c>
      <c r="E75" s="464"/>
      <c r="F75" s="201"/>
      <c r="G75" s="456"/>
      <c r="H75" s="195" t="s">
        <v>115</v>
      </c>
      <c r="I75" s="196">
        <f>I74*12</f>
        <v>80351.441999999995</v>
      </c>
      <c r="K75" s="205"/>
      <c r="L75" s="212" t="s">
        <v>85</v>
      </c>
      <c r="M75" s="223"/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1236176.0307692306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2691000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203000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0.46287425149700601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1689000.0000000002</v>
      </c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</f>
        <v>82000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8445000</v>
      </c>
      <c r="E83" s="464"/>
      <c r="F83" s="366"/>
      <c r="G83" s="475" t="s">
        <v>163</v>
      </c>
      <c r="H83" s="475"/>
      <c r="I83" s="477">
        <f>SUM(E41:E43)</f>
        <v>975000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1057000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-329953.87364223273</v>
      </c>
      <c r="E87" s="480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157.85653230716133</v>
      </c>
      <c r="L88" s="119" t="s">
        <v>284</v>
      </c>
      <c r="M88" s="120">
        <v>2100000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13.154711025596777</v>
      </c>
      <c r="L89" s="119" t="s">
        <v>285</v>
      </c>
      <c r="M89" s="120">
        <v>451000</v>
      </c>
    </row>
    <row r="90" spans="2:26" ht="45" x14ac:dyDescent="0.45">
      <c r="B90" s="479" t="s">
        <v>117</v>
      </c>
      <c r="C90" s="480"/>
      <c r="D90" s="481">
        <f>PV(8%/12,30*12,H24,0)*-1</f>
        <v>1989046.1263577673</v>
      </c>
      <c r="E90" s="480"/>
      <c r="F90" s="366"/>
      <c r="G90" s="482" t="s">
        <v>161</v>
      </c>
      <c r="H90" s="482"/>
      <c r="I90" s="483">
        <f>H24/(I32-H5)</f>
        <v>2.1796620650566552</v>
      </c>
      <c r="L90" s="119" t="s">
        <v>286</v>
      </c>
      <c r="M90" s="120" t="s">
        <v>293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292</v>
      </c>
      <c r="M91" s="120">
        <v>1500000</v>
      </c>
    </row>
    <row r="92" spans="2:26" ht="35" customHeight="1" x14ac:dyDescent="0.35">
      <c r="D92" s="99"/>
      <c r="E92" s="22"/>
      <c r="L92" s="119" t="s">
        <v>287</v>
      </c>
      <c r="M92" s="120">
        <v>200000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291</v>
      </c>
      <c r="M93" s="120">
        <v>400000</v>
      </c>
    </row>
    <row r="94" spans="2:26" ht="35" customHeight="1" x14ac:dyDescent="0.35">
      <c r="D94" s="99"/>
      <c r="E94" s="98"/>
      <c r="F94" s="99"/>
      <c r="G94" s="99"/>
      <c r="H94" s="99"/>
      <c r="L94" s="247"/>
      <c r="M94" s="120">
        <f>SUM(M88:M93)</f>
        <v>4651000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248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82000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975000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791000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1848000</v>
      </c>
      <c r="I104" s="270">
        <f>H104*0.075</f>
        <v>138600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D5B5-BD13-B24F-83E2-D41553733003}">
  <dimension ref="B1:AI137"/>
  <sheetViews>
    <sheetView showGridLines="0" topLeftCell="A17" zoomScale="40" zoomScaleNormal="40" workbookViewId="0">
      <selection activeCell="G103" sqref="G103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13636.333333333334</v>
      </c>
      <c r="I5" s="377">
        <f>H5*12</f>
        <v>163636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5060000</v>
      </c>
      <c r="T7" s="252"/>
      <c r="U7" s="252">
        <f>SUM(E41:E43)</f>
        <v>956000</v>
      </c>
      <c r="V7" s="252">
        <f>$E$38</f>
        <v>10000</v>
      </c>
      <c r="W7" s="252">
        <f>$I$57</f>
        <v>2331000</v>
      </c>
      <c r="X7" s="252">
        <f>T7</f>
        <v>0</v>
      </c>
      <c r="Y7" s="252">
        <f t="shared" ref="Y7:Y66" si="1">SUM(S7:V7)-W7</f>
        <v>3695000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5089516.666666667</v>
      </c>
      <c r="T8" s="252"/>
      <c r="U8" s="254">
        <f>($V$2/12+1)*U7+$V$3</f>
        <v>973966.66666666663</v>
      </c>
      <c r="V8" s="254">
        <f>V7+$I$65</f>
        <v>25078.040833333336</v>
      </c>
      <c r="W8" s="252">
        <f>W7+X7</f>
        <v>2331000</v>
      </c>
      <c r="X8" s="252">
        <f t="shared" ref="X8:X66" si="2">T8</f>
        <v>0</v>
      </c>
      <c r="Y8" s="252">
        <f t="shared" si="1"/>
        <v>3757561.3741666675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5119205.513888889</v>
      </c>
      <c r="T9" s="252"/>
      <c r="U9" s="254">
        <f t="shared" ref="U9:U66" si="4">($V$2/12+1)*U8+$V$3</f>
        <v>992083.0555555555</v>
      </c>
      <c r="V9" s="254">
        <f t="shared" ref="V9:V66" si="5">V8+$I$65</f>
        <v>40156.081666666672</v>
      </c>
      <c r="W9" s="252">
        <f t="shared" ref="W9:W66" si="6">W8+X8</f>
        <v>2331000</v>
      </c>
      <c r="X9" s="252">
        <f t="shared" si="2"/>
        <v>0</v>
      </c>
      <c r="Y9" s="252">
        <f t="shared" si="1"/>
        <v>3820444.651111111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5149067.546053241</v>
      </c>
      <c r="T10" s="252"/>
      <c r="U10" s="254">
        <f t="shared" si="4"/>
        <v>1010350.4143518518</v>
      </c>
      <c r="V10" s="254">
        <f t="shared" si="5"/>
        <v>55234.122500000012</v>
      </c>
      <c r="W10" s="252">
        <f t="shared" si="6"/>
        <v>2331000</v>
      </c>
      <c r="X10" s="252">
        <f t="shared" si="2"/>
        <v>0</v>
      </c>
      <c r="Y10" s="252">
        <f t="shared" si="1"/>
        <v>3883652.0829050923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5179103.7734052185</v>
      </c>
      <c r="T11" s="252"/>
      <c r="U11" s="254">
        <f t="shared" si="4"/>
        <v>1028770.0011381172</v>
      </c>
      <c r="V11" s="254">
        <f t="shared" si="5"/>
        <v>70312.163333333345</v>
      </c>
      <c r="W11" s="252">
        <f t="shared" si="6"/>
        <v>2331000</v>
      </c>
      <c r="X11" s="252">
        <f t="shared" si="2"/>
        <v>0</v>
      </c>
      <c r="Y11" s="252">
        <f t="shared" si="1"/>
        <v>3947185.9378766688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5209315.2120834161</v>
      </c>
      <c r="T12" s="252"/>
      <c r="U12" s="254">
        <f t="shared" si="4"/>
        <v>1047343.0844809348</v>
      </c>
      <c r="V12" s="254">
        <f t="shared" si="5"/>
        <v>85390.204166666677</v>
      </c>
      <c r="W12" s="252">
        <f t="shared" si="6"/>
        <v>2331000</v>
      </c>
      <c r="X12" s="252">
        <f t="shared" si="2"/>
        <v>0</v>
      </c>
      <c r="Y12" s="252">
        <f t="shared" si="1"/>
        <v>4011048.5007310174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5239702.8841539025</v>
      </c>
      <c r="T13" s="252"/>
      <c r="U13" s="254">
        <f t="shared" si="4"/>
        <v>1066070.9435182759</v>
      </c>
      <c r="V13" s="254">
        <f t="shared" si="5"/>
        <v>100468.24500000001</v>
      </c>
      <c r="W13" s="252">
        <f t="shared" si="6"/>
        <v>2331000</v>
      </c>
      <c r="X13" s="252">
        <f t="shared" si="2"/>
        <v>0</v>
      </c>
      <c r="Y13" s="252">
        <f t="shared" si="1"/>
        <v>4075242.072672178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-369.66000000000031</v>
      </c>
      <c r="F14" s="391"/>
      <c r="G14" s="544" t="s">
        <v>68</v>
      </c>
      <c r="H14" s="539">
        <f>C14/E49</f>
        <v>3.2565656565656569E-2</v>
      </c>
      <c r="I14" s="542">
        <f>(D14-M29)/E49*12</f>
        <v>2.5204929292929296E-2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5270267.8176448001</v>
      </c>
      <c r="T14" s="252"/>
      <c r="U14" s="254">
        <f t="shared" si="4"/>
        <v>1084954.8680475948</v>
      </c>
      <c r="V14" s="254">
        <f t="shared" si="5"/>
        <v>115546.28583333334</v>
      </c>
      <c r="W14" s="252">
        <f t="shared" si="6"/>
        <v>2331000</v>
      </c>
      <c r="X14" s="252">
        <f t="shared" si="2"/>
        <v>0</v>
      </c>
      <c r="Y14" s="252">
        <f t="shared" si="1"/>
        <v>4139768.9715257287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1455.3166666666666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5301011.0465810616</v>
      </c>
      <c r="T15" s="252"/>
      <c r="U15" s="254">
        <f t="shared" si="4"/>
        <v>1103996.1586146581</v>
      </c>
      <c r="V15" s="254">
        <f t="shared" si="5"/>
        <v>130624.32666666668</v>
      </c>
      <c r="W15" s="252">
        <f t="shared" si="6"/>
        <v>2331000</v>
      </c>
      <c r="X15" s="252">
        <f t="shared" si="2"/>
        <v>0</v>
      </c>
      <c r="Y15" s="252">
        <f t="shared" si="1"/>
        <v>4204631.5318623865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5.0613333333333337E-2</v>
      </c>
      <c r="I16" s="542">
        <f>(D16-M31)/E51*12</f>
        <v>3.7447359999999999E-2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5331933.6110194512</v>
      </c>
      <c r="T16" s="252"/>
      <c r="U16" s="254">
        <f t="shared" si="4"/>
        <v>1123196.1266031135</v>
      </c>
      <c r="V16" s="254">
        <f t="shared" si="5"/>
        <v>145702.36750000002</v>
      </c>
      <c r="W16" s="252">
        <f t="shared" si="6"/>
        <v>2331000</v>
      </c>
      <c r="X16" s="252">
        <f t="shared" si="2"/>
        <v>0</v>
      </c>
      <c r="Y16" s="252">
        <f t="shared" si="1"/>
        <v>4269832.1051225644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5.3902439024390243E-2</v>
      </c>
      <c r="I17" s="542">
        <f>(D17-M32)/E52*12</f>
        <v>4.1302341463414632E-2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5363036.5570837315</v>
      </c>
      <c r="T17" s="252">
        <f>$V$4</f>
        <v>2000000</v>
      </c>
      <c r="U17" s="254">
        <f t="shared" si="4"/>
        <v>1142556.094324806</v>
      </c>
      <c r="V17" s="254">
        <f t="shared" si="5"/>
        <v>160780.40833333335</v>
      </c>
      <c r="W17" s="252">
        <f t="shared" si="6"/>
        <v>2331000</v>
      </c>
      <c r="X17" s="252">
        <f t="shared" si="2"/>
        <v>2000000</v>
      </c>
      <c r="Y17" s="252">
        <f t="shared" si="1"/>
        <v>6335373.0597418714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7394320.937000053</v>
      </c>
      <c r="T18" s="252"/>
      <c r="U18" s="254">
        <f t="shared" si="4"/>
        <v>1162077.395110846</v>
      </c>
      <c r="V18" s="254">
        <f t="shared" si="5"/>
        <v>175858.44916666669</v>
      </c>
      <c r="W18" s="252">
        <f t="shared" si="6"/>
        <v>4331000</v>
      </c>
      <c r="X18" s="252">
        <f t="shared" si="2"/>
        <v>0</v>
      </c>
      <c r="Y18" s="252">
        <f t="shared" si="1"/>
        <v>4401256.7812775653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15595.2</v>
      </c>
      <c r="D19" s="535">
        <f>C19/12</f>
        <v>1299.6000000000001</v>
      </c>
      <c r="E19" s="534"/>
      <c r="F19" s="391"/>
      <c r="G19" s="547" t="s">
        <v>56</v>
      </c>
      <c r="H19" s="548" t="s">
        <v>57</v>
      </c>
      <c r="I19" s="549">
        <f>SUM(D6:D18)</f>
        <v>36636.333333333336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7437454.4757992206</v>
      </c>
      <c r="T19" s="252"/>
      <c r="U19" s="254">
        <f t="shared" si="4"/>
        <v>1181761.3734034363</v>
      </c>
      <c r="V19" s="254">
        <f t="shared" si="5"/>
        <v>190936.49000000002</v>
      </c>
      <c r="W19" s="252">
        <f t="shared" si="6"/>
        <v>4331000</v>
      </c>
      <c r="X19" s="252">
        <f t="shared" si="2"/>
        <v>0</v>
      </c>
      <c r="Y19" s="252">
        <f t="shared" si="1"/>
        <v>4479152.3392026573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7480839.6269080499</v>
      </c>
      <c r="T20" s="252"/>
      <c r="U20" s="254">
        <f t="shared" si="4"/>
        <v>1201609.384848465</v>
      </c>
      <c r="V20" s="254">
        <f t="shared" si="5"/>
        <v>206014.53083333335</v>
      </c>
      <c r="W20" s="252">
        <f t="shared" si="6"/>
        <v>4331000</v>
      </c>
      <c r="X20" s="252">
        <f t="shared" si="2"/>
        <v>0</v>
      </c>
      <c r="Y20" s="252">
        <f t="shared" si="1"/>
        <v>4557463.5425898489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7524477.8580650138</v>
      </c>
      <c r="T21" s="252"/>
      <c r="U21" s="254">
        <f t="shared" si="4"/>
        <v>1221622.7963888687</v>
      </c>
      <c r="V21" s="254">
        <f t="shared" si="5"/>
        <v>221092.57166666668</v>
      </c>
      <c r="W21" s="252">
        <f t="shared" si="6"/>
        <v>4331000</v>
      </c>
      <c r="X21" s="252">
        <f t="shared" si="2"/>
        <v>0</v>
      </c>
      <c r="Y21" s="252">
        <f t="shared" si="1"/>
        <v>4636193.2261205502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0</v>
      </c>
      <c r="D22" s="409">
        <f>PMT(M22/12, 25*12, -M75)</f>
        <v>0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7568370.6455703937</v>
      </c>
      <c r="T22" s="252"/>
      <c r="U22" s="254">
        <f t="shared" si="4"/>
        <v>1241802.986358776</v>
      </c>
      <c r="V22" s="254">
        <f t="shared" si="5"/>
        <v>236170.61250000002</v>
      </c>
      <c r="W22" s="252">
        <f t="shared" si="6"/>
        <v>4331000</v>
      </c>
      <c r="X22" s="252">
        <f t="shared" si="2"/>
        <v>0</v>
      </c>
      <c r="Y22" s="252">
        <f t="shared" si="1"/>
        <v>4715344.2444291711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7612519.4743362209</v>
      </c>
      <c r="T23" s="252"/>
      <c r="U23" s="254">
        <f t="shared" si="4"/>
        <v>1262151.3445784324</v>
      </c>
      <c r="V23" s="254">
        <f t="shared" si="5"/>
        <v>251248.65333333335</v>
      </c>
      <c r="W23" s="252">
        <f t="shared" si="6"/>
        <v>4331000</v>
      </c>
      <c r="X23" s="252">
        <f t="shared" si="2"/>
        <v>0</v>
      </c>
      <c r="Y23" s="252">
        <f t="shared" si="1"/>
        <v>4794919.472247988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21692.2</v>
      </c>
      <c r="D24" s="409">
        <f>M24*I50/12+(M30)</f>
        <v>1807.6833333333334</v>
      </c>
      <c r="E24" s="411"/>
      <c r="F24" s="412"/>
      <c r="G24" s="413" t="s">
        <v>86</v>
      </c>
      <c r="H24" s="376">
        <f>I19-I32</f>
        <v>15078.040833333336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7656925.8379365159</v>
      </c>
      <c r="T24" s="252"/>
      <c r="U24" s="254">
        <f t="shared" si="4"/>
        <v>1282669.2724499193</v>
      </c>
      <c r="V24" s="254">
        <f t="shared" si="5"/>
        <v>266326.69416666671</v>
      </c>
      <c r="W24" s="252">
        <f t="shared" si="6"/>
        <v>4331000</v>
      </c>
      <c r="X24" s="252">
        <f t="shared" si="2"/>
        <v>0</v>
      </c>
      <c r="Y24" s="252">
        <f t="shared" si="1"/>
        <v>4874921.8045531008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7701591.2386578126</v>
      </c>
      <c r="T25" s="252"/>
      <c r="U25" s="254">
        <f t="shared" si="4"/>
        <v>1303358.1830536686</v>
      </c>
      <c r="V25" s="254">
        <f t="shared" si="5"/>
        <v>281404.73500000004</v>
      </c>
      <c r="W25" s="252">
        <f t="shared" si="6"/>
        <v>4331000</v>
      </c>
      <c r="X25" s="252">
        <f t="shared" si="2"/>
        <v>0</v>
      </c>
      <c r="Y25" s="252">
        <f t="shared" si="1"/>
        <v>4955354.1567114815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7746517.1875499832</v>
      </c>
      <c r="T26" s="252"/>
      <c r="U26" s="254">
        <f t="shared" si="4"/>
        <v>1324219.5012457825</v>
      </c>
      <c r="V26" s="254">
        <f t="shared" si="5"/>
        <v>296482.77583333338</v>
      </c>
      <c r="W26" s="252">
        <f t="shared" si="6"/>
        <v>4331000</v>
      </c>
      <c r="X26" s="252">
        <f t="shared" si="2"/>
        <v>0</v>
      </c>
      <c r="Y26" s="252">
        <f t="shared" si="1"/>
        <v>5036219.4646290988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7791705.2044773586</v>
      </c>
      <c r="T27" s="252"/>
      <c r="U27" s="254">
        <f t="shared" si="4"/>
        <v>1345254.663756164</v>
      </c>
      <c r="V27" s="254">
        <f t="shared" si="5"/>
        <v>311560.81666666671</v>
      </c>
      <c r="W27" s="252">
        <f t="shared" si="6"/>
        <v>4331000</v>
      </c>
      <c r="X27" s="252">
        <f t="shared" si="2"/>
        <v>0</v>
      </c>
      <c r="Y27" s="252">
        <f t="shared" si="1"/>
        <v>5117520.6849001888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7837156.8181701433</v>
      </c>
      <c r="T28" s="252">
        <f>$V$4</f>
        <v>2000000</v>
      </c>
      <c r="U28" s="254">
        <f t="shared" si="4"/>
        <v>1366465.1192874655</v>
      </c>
      <c r="V28" s="254">
        <f t="shared" si="5"/>
        <v>326638.85750000004</v>
      </c>
      <c r="W28" s="252">
        <f t="shared" si="6"/>
        <v>4331000</v>
      </c>
      <c r="X28" s="252">
        <f t="shared" si="2"/>
        <v>2000000</v>
      </c>
      <c r="Y28" s="252">
        <f t="shared" si="1"/>
        <v>7199260.794957608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9882873.5662761368</v>
      </c>
      <c r="T29" s="252"/>
      <c r="U29" s="254">
        <f t="shared" si="4"/>
        <v>1387852.328614861</v>
      </c>
      <c r="V29" s="254">
        <f t="shared" si="5"/>
        <v>341716.89833333337</v>
      </c>
      <c r="W29" s="252">
        <f t="shared" si="6"/>
        <v>6331000</v>
      </c>
      <c r="X29" s="252">
        <f t="shared" si="2"/>
        <v>0</v>
      </c>
      <c r="Y29" s="252">
        <f t="shared" si="1"/>
        <v>5281442.793224331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9940523.6620794144</v>
      </c>
      <c r="T30" s="252"/>
      <c r="U30" s="254">
        <f t="shared" si="4"/>
        <v>1409417.7646866515</v>
      </c>
      <c r="V30" s="254">
        <f t="shared" si="5"/>
        <v>356794.93916666671</v>
      </c>
      <c r="W30" s="252">
        <f t="shared" si="6"/>
        <v>6331000</v>
      </c>
      <c r="X30" s="252">
        <f t="shared" si="2"/>
        <v>0</v>
      </c>
      <c r="Y30" s="252">
        <f t="shared" si="1"/>
        <v>5375736.3659327328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9998510.0501082111</v>
      </c>
      <c r="T31" s="252"/>
      <c r="U31" s="254">
        <f t="shared" si="4"/>
        <v>1431162.9127257068</v>
      </c>
      <c r="V31" s="254">
        <f t="shared" si="5"/>
        <v>371872.98000000004</v>
      </c>
      <c r="W31" s="252">
        <f t="shared" si="6"/>
        <v>6331000</v>
      </c>
      <c r="X31" s="252">
        <f t="shared" si="2"/>
        <v>0</v>
      </c>
      <c r="Y31" s="252">
        <f t="shared" si="1"/>
        <v>5470545.9428339191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21558.2925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10056834.692067176</v>
      </c>
      <c r="T32" s="252"/>
      <c r="U32" s="254">
        <f t="shared" si="4"/>
        <v>1453089.2703317543</v>
      </c>
      <c r="V32" s="254">
        <f t="shared" si="5"/>
        <v>386951.02083333337</v>
      </c>
      <c r="W32" s="252">
        <f t="shared" si="6"/>
        <v>6331000</v>
      </c>
      <c r="X32" s="252">
        <f t="shared" si="2"/>
        <v>0</v>
      </c>
      <c r="Y32" s="252">
        <f t="shared" si="1"/>
        <v>5565874.9832322653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10115499.561104234</v>
      </c>
      <c r="T33" s="252"/>
      <c r="U33" s="254">
        <f t="shared" si="4"/>
        <v>1475198.3475845188</v>
      </c>
      <c r="V33" s="254">
        <f t="shared" si="5"/>
        <v>402029.0616666667</v>
      </c>
      <c r="W33" s="252">
        <f t="shared" si="6"/>
        <v>6331000</v>
      </c>
      <c r="X33" s="252">
        <f t="shared" si="2"/>
        <v>0</v>
      </c>
      <c r="Y33" s="252">
        <f t="shared" si="1"/>
        <v>5661726.9703554213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10174506.641877342</v>
      </c>
      <c r="T34" s="252"/>
      <c r="U34" s="254">
        <f t="shared" si="4"/>
        <v>1497491.667147723</v>
      </c>
      <c r="V34" s="254">
        <f t="shared" si="5"/>
        <v>417107.10250000004</v>
      </c>
      <c r="W34" s="252">
        <f t="shared" si="6"/>
        <v>6331000</v>
      </c>
      <c r="X34" s="252">
        <f t="shared" si="2"/>
        <v>0</v>
      </c>
      <c r="Y34" s="252">
        <f t="shared" si="1"/>
        <v>5758105.4115250632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10233857.930621626</v>
      </c>
      <c r="T35" s="252"/>
      <c r="U35" s="254">
        <f t="shared" si="4"/>
        <v>1519970.7643739539</v>
      </c>
      <c r="V35" s="254">
        <f t="shared" si="5"/>
        <v>432185.14333333337</v>
      </c>
      <c r="W35" s="252">
        <f t="shared" si="6"/>
        <v>6331000</v>
      </c>
      <c r="X35" s="252">
        <f t="shared" si="2"/>
        <v>0</v>
      </c>
      <c r="Y35" s="252">
        <f t="shared" si="1"/>
        <v>5855013.8383289129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10293555.435216919</v>
      </c>
      <c r="T36" s="252"/>
      <c r="U36" s="254">
        <f t="shared" si="4"/>
        <v>1542637.1874104035</v>
      </c>
      <c r="V36" s="254">
        <f t="shared" si="5"/>
        <v>447263.1841666667</v>
      </c>
      <c r="W36" s="252">
        <f t="shared" si="6"/>
        <v>6331000</v>
      </c>
      <c r="X36" s="252">
        <f t="shared" si="2"/>
        <v>0</v>
      </c>
      <c r="Y36" s="252">
        <f t="shared" si="1"/>
        <v>5952455.8067939878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10353601.175255684</v>
      </c>
      <c r="T37" s="252"/>
      <c r="U37" s="254">
        <f t="shared" si="4"/>
        <v>1565492.4973054901</v>
      </c>
      <c r="V37" s="254">
        <f t="shared" si="5"/>
        <v>462341.22500000003</v>
      </c>
      <c r="W37" s="252">
        <f t="shared" si="6"/>
        <v>6331000</v>
      </c>
      <c r="X37" s="252">
        <f t="shared" si="2"/>
        <v>0</v>
      </c>
      <c r="Y37" s="252">
        <f t="shared" si="1"/>
        <v>6050434.8975611739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10413997.182111343</v>
      </c>
      <c r="T38" s="252"/>
      <c r="U38" s="254">
        <f t="shared" si="4"/>
        <v>1588538.2681163691</v>
      </c>
      <c r="V38" s="254">
        <f t="shared" si="5"/>
        <v>477419.26583333337</v>
      </c>
      <c r="W38" s="252">
        <f t="shared" si="6"/>
        <v>6331000</v>
      </c>
      <c r="X38" s="252">
        <f t="shared" si="2"/>
        <v>0</v>
      </c>
      <c r="Y38" s="252">
        <f t="shared" si="1"/>
        <v>6148954.7160610463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10474745.499006992</v>
      </c>
      <c r="T39" s="252"/>
      <c r="U39" s="254">
        <f t="shared" si="4"/>
        <v>1611776.087017339</v>
      </c>
      <c r="V39" s="254">
        <f t="shared" si="5"/>
        <v>492497.3066666667</v>
      </c>
      <c r="W39" s="252">
        <f t="shared" si="6"/>
        <v>6331000</v>
      </c>
      <c r="X39" s="252">
        <f t="shared" si="2"/>
        <v>0</v>
      </c>
      <c r="Y39" s="252">
        <f t="shared" si="1"/>
        <v>6248018.8926909976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10535848.181084534</v>
      </c>
      <c r="T40" s="252">
        <f>$V$4</f>
        <v>2000000</v>
      </c>
      <c r="U40" s="254">
        <f t="shared" si="4"/>
        <v>1635207.55440915</v>
      </c>
      <c r="V40" s="254">
        <f t="shared" si="5"/>
        <v>507575.34750000003</v>
      </c>
      <c r="W40" s="252">
        <f t="shared" si="6"/>
        <v>6331000</v>
      </c>
      <c r="X40" s="252">
        <f t="shared" si="2"/>
        <v>2000000</v>
      </c>
      <c r="Y40" s="252">
        <f t="shared" si="1"/>
        <v>8347631.0829936843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190000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12597307.295474194</v>
      </c>
      <c r="T41" s="252"/>
      <c r="U41" s="254">
        <f t="shared" si="4"/>
        <v>1658834.2840292263</v>
      </c>
      <c r="V41" s="254">
        <f t="shared" si="5"/>
        <v>522653.38833333337</v>
      </c>
      <c r="W41" s="252">
        <f t="shared" si="6"/>
        <v>8331000</v>
      </c>
      <c r="X41" s="252">
        <f t="shared" si="2"/>
        <v>0</v>
      </c>
      <c r="Y41" s="252">
        <f t="shared" si="1"/>
        <v>6447794.9678367544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144000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12670791.588031126</v>
      </c>
      <c r="T42" s="252"/>
      <c r="U42" s="254">
        <f t="shared" si="4"/>
        <v>1682657.9030628032</v>
      </c>
      <c r="V42" s="254">
        <f t="shared" si="5"/>
        <v>537731.4291666667</v>
      </c>
      <c r="W42" s="252">
        <f t="shared" si="6"/>
        <v>8331000</v>
      </c>
      <c r="X42" s="252">
        <f t="shared" si="2"/>
        <v>0</v>
      </c>
      <c r="Y42" s="252">
        <f t="shared" si="1"/>
        <v>6560180.920260597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622000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12744704.538961308</v>
      </c>
      <c r="T43" s="252"/>
      <c r="U43" s="254">
        <f t="shared" si="4"/>
        <v>1706680.0522549932</v>
      </c>
      <c r="V43" s="254">
        <f t="shared" si="5"/>
        <v>552809.47000000009</v>
      </c>
      <c r="W43" s="252">
        <f t="shared" si="6"/>
        <v>8331000</v>
      </c>
      <c r="X43" s="252">
        <f t="shared" si="2"/>
        <v>0</v>
      </c>
      <c r="Y43" s="252">
        <f t="shared" si="1"/>
        <v>6673194.0612163022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12819048.648771916</v>
      </c>
      <c r="T44" s="252"/>
      <c r="U44" s="254">
        <f t="shared" si="4"/>
        <v>1730902.3860237848</v>
      </c>
      <c r="V44" s="254">
        <f t="shared" si="5"/>
        <v>567887.51083333348</v>
      </c>
      <c r="W44" s="252">
        <f t="shared" si="6"/>
        <v>8331000</v>
      </c>
      <c r="X44" s="252">
        <f t="shared" si="2"/>
        <v>0</v>
      </c>
      <c r="Y44" s="252">
        <f t="shared" si="1"/>
        <v>6786838.5456290338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12893826.432556419</v>
      </c>
      <c r="T45" s="252"/>
      <c r="U45" s="254">
        <f t="shared" si="4"/>
        <v>1755326.5725739829</v>
      </c>
      <c r="V45" s="254">
        <f t="shared" si="5"/>
        <v>582965.55166666687</v>
      </c>
      <c r="W45" s="252">
        <f t="shared" si="6"/>
        <v>8331000</v>
      </c>
      <c r="X45" s="252">
        <f t="shared" si="2"/>
        <v>0</v>
      </c>
      <c r="Y45" s="252">
        <f t="shared" si="1"/>
        <v>6901118.5567970686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12969040.420079665</v>
      </c>
      <c r="T46" s="252"/>
      <c r="U46" s="254">
        <f t="shared" si="4"/>
        <v>1779954.2940120993</v>
      </c>
      <c r="V46" s="254">
        <f t="shared" si="5"/>
        <v>598043.59250000026</v>
      </c>
      <c r="W46" s="252">
        <f t="shared" si="6"/>
        <v>8331000</v>
      </c>
      <c r="X46" s="252">
        <f t="shared" si="2"/>
        <v>0</v>
      </c>
      <c r="Y46" s="252">
        <f t="shared" si="1"/>
        <v>7016038.3065917641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13044693.155863464</v>
      </c>
      <c r="T47" s="252"/>
      <c r="U47" s="254">
        <f t="shared" si="4"/>
        <v>1804787.2464622001</v>
      </c>
      <c r="V47" s="254">
        <f t="shared" si="5"/>
        <v>613121.63333333365</v>
      </c>
      <c r="W47" s="252">
        <f t="shared" si="6"/>
        <v>8331000</v>
      </c>
      <c r="X47" s="252">
        <f t="shared" si="2"/>
        <v>0</v>
      </c>
      <c r="Y47" s="252">
        <f t="shared" si="1"/>
        <v>7131602.0356589966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1920000</v>
      </c>
      <c r="E48" s="433">
        <f t="shared" ref="E48:E53" si="10">M62</f>
        <v>1920000</v>
      </c>
      <c r="F48" s="366"/>
      <c r="G48" s="365" t="s">
        <v>6</v>
      </c>
      <c r="H48" s="201"/>
      <c r="I48" s="434">
        <f>M75</f>
        <v>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13120787.199272668</v>
      </c>
      <c r="T48" s="252"/>
      <c r="U48" s="254">
        <f t="shared" si="4"/>
        <v>1829827.1401827184</v>
      </c>
      <c r="V48" s="254">
        <f t="shared" si="5"/>
        <v>628199.67416666704</v>
      </c>
      <c r="W48" s="252">
        <f t="shared" si="6"/>
        <v>8331000</v>
      </c>
      <c r="X48" s="252">
        <f t="shared" si="2"/>
        <v>0</v>
      </c>
      <c r="Y48" s="252">
        <f t="shared" si="1"/>
        <v>7247814.013622053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478000</v>
      </c>
      <c r="E49" s="433">
        <f t="shared" si="10"/>
        <v>990000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13197325.124601759</v>
      </c>
      <c r="T49" s="252"/>
      <c r="U49" s="254">
        <f t="shared" si="4"/>
        <v>1855075.6996842411</v>
      </c>
      <c r="V49" s="254">
        <f t="shared" si="5"/>
        <v>643277.71500000043</v>
      </c>
      <c r="W49" s="252">
        <f t="shared" si="6"/>
        <v>8331000</v>
      </c>
      <c r="X49" s="252">
        <f t="shared" si="2"/>
        <v>0</v>
      </c>
      <c r="Y49" s="252">
        <f t="shared" si="1"/>
        <v>7364678.5392860007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377000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203000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13274309.521161936</v>
      </c>
      <c r="T50" s="252"/>
      <c r="U50" s="254">
        <f t="shared" si="4"/>
        <v>1880534.6638482765</v>
      </c>
      <c r="V50" s="254">
        <f t="shared" si="5"/>
        <v>658355.75583333382</v>
      </c>
      <c r="W50" s="252">
        <f t="shared" si="6"/>
        <v>8331000</v>
      </c>
      <c r="X50" s="252">
        <f t="shared" si="2"/>
        <v>0</v>
      </c>
      <c r="Y50" s="252">
        <f t="shared" si="1"/>
        <v>7482199.9408435468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-30000</v>
      </c>
      <c r="E51" s="433">
        <f t="shared" si="10"/>
        <v>750000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13351742.993368715</v>
      </c>
      <c r="T51" s="252"/>
      <c r="U51" s="254">
        <f t="shared" si="4"/>
        <v>1906205.7860470121</v>
      </c>
      <c r="V51" s="254">
        <f t="shared" si="5"/>
        <v>673433.79666666721</v>
      </c>
      <c r="W51" s="252">
        <f t="shared" si="6"/>
        <v>8331000</v>
      </c>
      <c r="X51" s="252">
        <f t="shared" si="2"/>
        <v>0</v>
      </c>
      <c r="Y51" s="252">
        <f t="shared" si="1"/>
        <v>7600382.5760823935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-4000</v>
      </c>
      <c r="E52" s="433">
        <f t="shared" si="10"/>
        <v>820000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13429628.160830032</v>
      </c>
      <c r="T52" s="252">
        <f>$V$4</f>
        <v>2000000</v>
      </c>
      <c r="U52" s="254">
        <f t="shared" si="4"/>
        <v>1932090.8342640705</v>
      </c>
      <c r="V52" s="254">
        <f t="shared" si="5"/>
        <v>688511.83750000061</v>
      </c>
      <c r="W52" s="252">
        <f t="shared" si="6"/>
        <v>8331000</v>
      </c>
      <c r="X52" s="252">
        <f t="shared" si="2"/>
        <v>2000000</v>
      </c>
      <c r="Y52" s="252">
        <f t="shared" si="1"/>
        <v>9719230.8325941041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15507967.658434873</v>
      </c>
      <c r="T53" s="252"/>
      <c r="U53" s="254">
        <f t="shared" si="4"/>
        <v>1958191.591216271</v>
      </c>
      <c r="V53" s="254">
        <f t="shared" si="5"/>
        <v>703589.878333334</v>
      </c>
      <c r="W53" s="252">
        <f t="shared" si="6"/>
        <v>10331000</v>
      </c>
      <c r="X53" s="252">
        <f t="shared" si="2"/>
        <v>0</v>
      </c>
      <c r="Y53" s="252">
        <f t="shared" si="1"/>
        <v>7838749.1279844791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15598430.803109078</v>
      </c>
      <c r="T54" s="252"/>
      <c r="U54" s="254">
        <f t="shared" si="4"/>
        <v>1984509.8544764065</v>
      </c>
      <c r="V54" s="254">
        <f t="shared" si="5"/>
        <v>718667.91916666739</v>
      </c>
      <c r="W54" s="252">
        <f t="shared" si="6"/>
        <v>10331000</v>
      </c>
      <c r="X54" s="252">
        <f t="shared" si="2"/>
        <v>0</v>
      </c>
      <c r="Y54" s="252">
        <f t="shared" si="1"/>
        <v>7970608.5767521486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190000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15689421.649460549</v>
      </c>
      <c r="T55" s="252"/>
      <c r="U55" s="254">
        <f t="shared" si="4"/>
        <v>2011047.4365970432</v>
      </c>
      <c r="V55" s="254">
        <f t="shared" si="5"/>
        <v>733745.96000000078</v>
      </c>
      <c r="W55" s="252">
        <f t="shared" si="6"/>
        <v>10331000</v>
      </c>
      <c r="X55" s="252">
        <f t="shared" si="2"/>
        <v>0</v>
      </c>
      <c r="Y55" s="252">
        <f t="shared" si="1"/>
        <v>8103215.0460575931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6446000</v>
      </c>
      <c r="F56" s="366"/>
      <c r="G56" s="441"/>
      <c r="H56" s="420"/>
      <c r="I56" s="442"/>
      <c r="J56" s="18"/>
      <c r="K56" s="205"/>
      <c r="L56" s="212" t="s">
        <v>80</v>
      </c>
      <c r="M56" s="223">
        <v>144000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15780943.275749069</v>
      </c>
      <c r="T56" s="252"/>
      <c r="U56" s="254">
        <f t="shared" si="4"/>
        <v>2037806.1652353518</v>
      </c>
      <c r="V56" s="254">
        <f t="shared" si="5"/>
        <v>748824.00083333417</v>
      </c>
      <c r="W56" s="252">
        <f t="shared" si="6"/>
        <v>10331000</v>
      </c>
      <c r="X56" s="252">
        <f t="shared" si="2"/>
        <v>0</v>
      </c>
      <c r="Y56" s="252">
        <f t="shared" si="1"/>
        <v>8236573.441817753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6026000</v>
      </c>
      <c r="F57" s="416"/>
      <c r="G57" s="553" t="s">
        <v>59</v>
      </c>
      <c r="H57" s="554"/>
      <c r="I57" s="555">
        <f>SUM(I38:I56)</f>
        <v>2331000</v>
      </c>
      <c r="K57" s="205"/>
      <c r="L57" s="212" t="s">
        <v>81</v>
      </c>
      <c r="M57" s="223">
        <v>622000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15872998.778190939</v>
      </c>
      <c r="T57" s="252"/>
      <c r="U57" s="254">
        <f t="shared" si="4"/>
        <v>2064787.8832789797</v>
      </c>
      <c r="V57" s="254">
        <f t="shared" si="5"/>
        <v>763902.04166666756</v>
      </c>
      <c r="W57" s="252">
        <f t="shared" si="6"/>
        <v>10331000</v>
      </c>
      <c r="X57" s="252">
        <f t="shared" si="2"/>
        <v>0</v>
      </c>
      <c r="Y57" s="252">
        <f t="shared" si="1"/>
        <v>8370688.7031365857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15965591.271063719</v>
      </c>
      <c r="T58" s="252"/>
      <c r="U58" s="254">
        <f t="shared" si="4"/>
        <v>2091994.4489729712</v>
      </c>
      <c r="V58" s="254">
        <f t="shared" si="5"/>
        <v>778980.08250000095</v>
      </c>
      <c r="W58" s="252">
        <f t="shared" si="6"/>
        <v>10331000</v>
      </c>
      <c r="X58" s="252">
        <f t="shared" si="2"/>
        <v>0</v>
      </c>
      <c r="Y58" s="252">
        <f t="shared" si="1"/>
        <v>8505565.8025366887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16058723.886811592</v>
      </c>
      <c r="T59" s="252"/>
      <c r="U59" s="254">
        <f t="shared" si="4"/>
        <v>2119427.7360477457</v>
      </c>
      <c r="V59" s="254">
        <f t="shared" si="5"/>
        <v>794058.12333333434</v>
      </c>
      <c r="W59" s="252">
        <f t="shared" si="6"/>
        <v>10331000</v>
      </c>
      <c r="X59" s="252">
        <f t="shared" si="2"/>
        <v>0</v>
      </c>
      <c r="Y59" s="252">
        <f t="shared" si="1"/>
        <v>8641209.7461926714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16152399.776151326</v>
      </c>
      <c r="T60" s="252"/>
      <c r="U60" s="254">
        <f t="shared" si="4"/>
        <v>2147089.6338481433</v>
      </c>
      <c r="V60" s="254">
        <f t="shared" si="5"/>
        <v>809136.16416666773</v>
      </c>
      <c r="W60" s="252">
        <f t="shared" si="6"/>
        <v>10331000</v>
      </c>
      <c r="X60" s="252">
        <f t="shared" si="2"/>
        <v>0</v>
      </c>
      <c r="Y60" s="252">
        <f t="shared" si="1"/>
        <v>8777625.574166134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16246622.108178874</v>
      </c>
      <c r="T61" s="252"/>
      <c r="U61" s="254">
        <f t="shared" si="4"/>
        <v>2174982.0474635442</v>
      </c>
      <c r="V61" s="254">
        <f t="shared" si="5"/>
        <v>824214.20500000112</v>
      </c>
      <c r="W61" s="252">
        <f t="shared" si="6"/>
        <v>10331000</v>
      </c>
      <c r="X61" s="252">
        <f t="shared" si="2"/>
        <v>0</v>
      </c>
      <c r="Y61" s="252">
        <f t="shared" si="1"/>
        <v>8914818.360642422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1920000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16341394.070476584</v>
      </c>
      <c r="T62" s="252"/>
      <c r="U62" s="254">
        <f t="shared" si="4"/>
        <v>2203106.8978590737</v>
      </c>
      <c r="V62" s="254">
        <f t="shared" si="5"/>
        <v>839292.24583333451</v>
      </c>
      <c r="W62" s="252">
        <f t="shared" si="6"/>
        <v>10331000</v>
      </c>
      <c r="X62" s="252">
        <f t="shared" si="2"/>
        <v>0</v>
      </c>
      <c r="Y62" s="252">
        <f t="shared" si="1"/>
        <v>9052793.2141689919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990000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16436718.869221032</v>
      </c>
      <c r="T63" s="252"/>
      <c r="U63" s="254">
        <f t="shared" si="4"/>
        <v>2231466.1220078995</v>
      </c>
      <c r="V63" s="254">
        <f t="shared" si="5"/>
        <v>854370.2866666679</v>
      </c>
      <c r="W63" s="252">
        <f t="shared" si="6"/>
        <v>10331000</v>
      </c>
      <c r="X63" s="252">
        <f t="shared" si="2"/>
        <v>0</v>
      </c>
      <c r="Y63" s="252">
        <f t="shared" si="1"/>
        <v>9191555.2778955996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16532599.729291487</v>
      </c>
      <c r="T64" s="252">
        <f>$V$4</f>
        <v>2000000</v>
      </c>
      <c r="U64" s="254">
        <f t="shared" si="4"/>
        <v>2260061.673024632</v>
      </c>
      <c r="V64" s="254">
        <f t="shared" si="5"/>
        <v>869448.32750000129</v>
      </c>
      <c r="W64" s="252">
        <f t="shared" si="6"/>
        <v>10331000</v>
      </c>
      <c r="X64" s="252">
        <f t="shared" si="2"/>
        <v>2000000</v>
      </c>
      <c r="Y64" s="252">
        <f t="shared" si="1"/>
        <v>11331109.72981612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3695000</v>
      </c>
      <c r="E65" s="200"/>
      <c r="F65" s="201"/>
      <c r="G65" s="202" t="s">
        <v>158</v>
      </c>
      <c r="H65" s="203" t="s">
        <v>114</v>
      </c>
      <c r="I65" s="204">
        <f>I19-I32</f>
        <v>15078.040833333336</v>
      </c>
      <c r="J65" s="18"/>
      <c r="K65" s="205"/>
      <c r="L65" s="212" t="s">
        <v>214</v>
      </c>
      <c r="M65" s="223">
        <v>750000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18629039.89437902</v>
      </c>
      <c r="T65" s="252"/>
      <c r="U65" s="254">
        <f t="shared" si="4"/>
        <v>2288895.5202998375</v>
      </c>
      <c r="V65" s="254">
        <f t="shared" si="5"/>
        <v>884526.36833333469</v>
      </c>
      <c r="W65" s="252">
        <f t="shared" si="6"/>
        <v>12331000</v>
      </c>
      <c r="X65" s="252">
        <f t="shared" si="2"/>
        <v>0</v>
      </c>
      <c r="Y65" s="252">
        <f t="shared" si="1"/>
        <v>9471461.7830121927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820000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18737709.293762896</v>
      </c>
      <c r="T66" s="252"/>
      <c r="U66" s="254">
        <f t="shared" si="4"/>
        <v>2317969.6496356693</v>
      </c>
      <c r="V66" s="254">
        <f t="shared" si="5"/>
        <v>899604.40916666808</v>
      </c>
      <c r="W66" s="252">
        <f t="shared" si="6"/>
        <v>12331000</v>
      </c>
      <c r="X66" s="252">
        <f t="shared" si="2"/>
        <v>0</v>
      </c>
      <c r="Y66" s="252">
        <f t="shared" si="1"/>
        <v>9624283.3525652327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4115000</v>
      </c>
      <c r="E67" s="459"/>
      <c r="F67" s="366"/>
      <c r="G67" s="461" t="s">
        <v>113</v>
      </c>
      <c r="H67" s="461" t="s">
        <v>115</v>
      </c>
      <c r="I67" s="462">
        <f>I65*12</f>
        <v>180936.49000000005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1775000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12665.554300000005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2319000</v>
      </c>
      <c r="E72" s="464"/>
      <c r="F72" s="201"/>
      <c r="G72" s="195" t="s">
        <v>1</v>
      </c>
      <c r="H72" s="195" t="s">
        <v>114</v>
      </c>
      <c r="I72" s="196">
        <f>H5</f>
        <v>13636.333333333334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5060000</v>
      </c>
      <c r="E74" s="464"/>
      <c r="F74" s="201"/>
      <c r="G74" s="195" t="s">
        <v>251</v>
      </c>
      <c r="H74" s="195" t="s">
        <v>114</v>
      </c>
      <c r="I74" s="196">
        <f>I32-H5</f>
        <v>7921.9591666666656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450520.00000000006</v>
      </c>
      <c r="E75" s="464"/>
      <c r="F75" s="201"/>
      <c r="G75" s="456"/>
      <c r="H75" s="195" t="s">
        <v>115</v>
      </c>
      <c r="I75" s="196">
        <f>I74*12</f>
        <v>95063.50999999998</v>
      </c>
      <c r="K75" s="205"/>
      <c r="L75" s="212" t="s">
        <v>85</v>
      </c>
      <c r="M75" s="223"/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1462515.538461538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2741000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203000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0.45830039525691701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1729000.0000000002</v>
      </c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</f>
        <v>10000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8645000</v>
      </c>
      <c r="E83" s="464"/>
      <c r="F83" s="366"/>
      <c r="G83" s="475" t="s">
        <v>163</v>
      </c>
      <c r="H83" s="475"/>
      <c r="I83" s="477">
        <f>SUM(E41:E43)</f>
        <v>956000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966000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-264111.91053876234</v>
      </c>
      <c r="E87" s="480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121.93953284493705</v>
      </c>
      <c r="L88" s="119" t="s">
        <v>284</v>
      </c>
      <c r="M88" s="120">
        <v>2100000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10.161627737078087</v>
      </c>
      <c r="L89" s="119" t="s">
        <v>285</v>
      </c>
      <c r="M89" s="120">
        <v>451000</v>
      </c>
    </row>
    <row r="90" spans="2:26" ht="45" x14ac:dyDescent="0.45">
      <c r="B90" s="479" t="s">
        <v>117</v>
      </c>
      <c r="C90" s="480"/>
      <c r="D90" s="481">
        <f>PV(8%/12,30*12,H24,0)*-1</f>
        <v>2054888.0894612377</v>
      </c>
      <c r="E90" s="480"/>
      <c r="F90" s="366"/>
      <c r="G90" s="482" t="s">
        <v>161</v>
      </c>
      <c r="H90" s="482"/>
      <c r="I90" s="483">
        <f>H24/(I32-H5)</f>
        <v>1.9033222105937395</v>
      </c>
      <c r="L90" s="119" t="s">
        <v>286</v>
      </c>
      <c r="M90" s="120" t="s">
        <v>293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292</v>
      </c>
      <c r="M91" s="120">
        <v>1500000</v>
      </c>
    </row>
    <row r="92" spans="2:26" ht="35" customHeight="1" x14ac:dyDescent="0.35">
      <c r="D92" s="99"/>
      <c r="E92" s="22"/>
      <c r="L92" s="119" t="s">
        <v>287</v>
      </c>
      <c r="M92" s="120">
        <v>200000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291</v>
      </c>
      <c r="M93" s="120">
        <v>400000</v>
      </c>
    </row>
    <row r="94" spans="2:26" ht="35" customHeight="1" x14ac:dyDescent="0.35">
      <c r="D94" s="99"/>
      <c r="E94" s="98"/>
      <c r="F94" s="99"/>
      <c r="G94" s="99"/>
      <c r="H94" s="99"/>
      <c r="L94" s="247"/>
      <c r="M94" s="120">
        <f>SUM(M88:M93)</f>
        <v>4651000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248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956000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821000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1787000</v>
      </c>
      <c r="I104" s="270">
        <f>H104*0.075</f>
        <v>134025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C83A-DD2A-064B-89B2-B6115DCBDA31}">
  <dimension ref="B1:AI137"/>
  <sheetViews>
    <sheetView showGridLines="0" zoomScale="30" zoomScaleNormal="30" workbookViewId="0">
      <selection activeCell="D57" sqref="D57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13636.333333333334</v>
      </c>
      <c r="I5" s="377">
        <f>H5*12</f>
        <v>163636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6700000</v>
      </c>
      <c r="T7" s="252"/>
      <c r="U7" s="252">
        <f>SUM(E41:E43)</f>
        <v>260000</v>
      </c>
      <c r="V7" s="252">
        <f>$E$38</f>
        <v>13900</v>
      </c>
      <c r="W7" s="252">
        <f>$I$57</f>
        <v>3530000</v>
      </c>
      <c r="X7" s="252">
        <f>T7</f>
        <v>0</v>
      </c>
      <c r="Y7" s="252">
        <f t="shared" ref="Y7:Y66" si="1">SUM(S7:V7)-W7</f>
        <v>3443900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6739083.333333334</v>
      </c>
      <c r="T8" s="252"/>
      <c r="U8" s="254">
        <f>($V$2/12+1)*U7+$V$3</f>
        <v>272166.66666666669</v>
      </c>
      <c r="V8" s="254">
        <f>V7+$I$65</f>
        <v>21707.670627518328</v>
      </c>
      <c r="W8" s="252">
        <f>W7+X7</f>
        <v>3530000</v>
      </c>
      <c r="X8" s="252">
        <f t="shared" ref="X8:X66" si="2">T8</f>
        <v>0</v>
      </c>
      <c r="Y8" s="252">
        <f t="shared" si="1"/>
        <v>3502957.6706275195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6778394.6527777789</v>
      </c>
      <c r="T9" s="252"/>
      <c r="U9" s="254">
        <f t="shared" ref="U9:U66" si="4">($V$2/12+1)*U8+$V$3</f>
        <v>284434.72222222225</v>
      </c>
      <c r="V9" s="254">
        <f t="shared" ref="V9:V66" si="5">V8+$I$65</f>
        <v>29515.341255036656</v>
      </c>
      <c r="W9" s="252">
        <f t="shared" ref="W9:W66" si="6">W8+X8</f>
        <v>3530000</v>
      </c>
      <c r="X9" s="252">
        <f t="shared" si="2"/>
        <v>0</v>
      </c>
      <c r="Y9" s="252">
        <f t="shared" si="1"/>
        <v>3562344.716255038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6817935.2882523164</v>
      </c>
      <c r="T10" s="252"/>
      <c r="U10" s="254">
        <f t="shared" si="4"/>
        <v>296805.0115740741</v>
      </c>
      <c r="V10" s="254">
        <f t="shared" si="5"/>
        <v>37323.011882554987</v>
      </c>
      <c r="W10" s="252">
        <f t="shared" si="6"/>
        <v>3530000</v>
      </c>
      <c r="X10" s="252">
        <f t="shared" si="2"/>
        <v>0</v>
      </c>
      <c r="Y10" s="252">
        <f t="shared" si="1"/>
        <v>3622063.3117089448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6857706.5774337882</v>
      </c>
      <c r="T11" s="252"/>
      <c r="U11" s="254">
        <f t="shared" si="4"/>
        <v>309278.38667052472</v>
      </c>
      <c r="V11" s="254">
        <f t="shared" si="5"/>
        <v>45130.682510073311</v>
      </c>
      <c r="W11" s="252">
        <f t="shared" si="6"/>
        <v>3530000</v>
      </c>
      <c r="X11" s="252">
        <f t="shared" si="2"/>
        <v>0</v>
      </c>
      <c r="Y11" s="252">
        <f t="shared" si="1"/>
        <v>3682115.6466143867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6897709.8658021521</v>
      </c>
      <c r="T12" s="252"/>
      <c r="U12" s="254">
        <f t="shared" si="4"/>
        <v>321855.70655944577</v>
      </c>
      <c r="V12" s="254">
        <f t="shared" si="5"/>
        <v>52938.353137591635</v>
      </c>
      <c r="W12" s="252">
        <f t="shared" si="6"/>
        <v>3530000</v>
      </c>
      <c r="X12" s="252">
        <f t="shared" si="2"/>
        <v>0</v>
      </c>
      <c r="Y12" s="252">
        <f t="shared" si="1"/>
        <v>3742503.9254991896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6937946.5066859983</v>
      </c>
      <c r="T13" s="252"/>
      <c r="U13" s="254">
        <f t="shared" si="4"/>
        <v>334537.83744744112</v>
      </c>
      <c r="V13" s="254">
        <f t="shared" si="5"/>
        <v>60746.02376510996</v>
      </c>
      <c r="W13" s="252">
        <f t="shared" si="6"/>
        <v>3530000</v>
      </c>
      <c r="X13" s="252">
        <f t="shared" si="2"/>
        <v>0</v>
      </c>
      <c r="Y13" s="252">
        <f t="shared" si="1"/>
        <v>3803230.3678985499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-369.66000000000031</v>
      </c>
      <c r="F14" s="391"/>
      <c r="G14" s="544" t="s">
        <v>68</v>
      </c>
      <c r="H14" s="539">
        <f>C14/E49</f>
        <v>3.1E-2</v>
      </c>
      <c r="I14" s="542">
        <f>(D14-M29)/E49*12</f>
        <v>2.3993153846153848E-2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6978417.8613083335</v>
      </c>
      <c r="T14" s="252"/>
      <c r="U14" s="254">
        <f t="shared" si="4"/>
        <v>347325.65275950311</v>
      </c>
      <c r="V14" s="254">
        <f t="shared" si="5"/>
        <v>68553.694392628284</v>
      </c>
      <c r="W14" s="252">
        <f t="shared" si="6"/>
        <v>3530000</v>
      </c>
      <c r="X14" s="252">
        <f t="shared" si="2"/>
        <v>0</v>
      </c>
      <c r="Y14" s="252">
        <f t="shared" si="1"/>
        <v>3864297.2084604641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1326.1666666666665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7019125.2988326326</v>
      </c>
      <c r="T15" s="252"/>
      <c r="U15" s="254">
        <f t="shared" si="4"/>
        <v>360220.0331991656</v>
      </c>
      <c r="V15" s="254">
        <f t="shared" si="5"/>
        <v>76361.365020146608</v>
      </c>
      <c r="W15" s="252">
        <f t="shared" si="6"/>
        <v>3530000</v>
      </c>
      <c r="X15" s="252">
        <f t="shared" si="2"/>
        <v>0</v>
      </c>
      <c r="Y15" s="252">
        <f t="shared" si="1"/>
        <v>3925706.6970519451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4.9947368421052629E-2</v>
      </c>
      <c r="I16" s="542">
        <f>(D16-M31)/E51*12</f>
        <v>3.6954631578947364E-2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7060070.1964091565</v>
      </c>
      <c r="T16" s="252"/>
      <c r="U16" s="254">
        <f t="shared" si="4"/>
        <v>373221.86680915864</v>
      </c>
      <c r="V16" s="254">
        <f t="shared" si="5"/>
        <v>84169.035647664932</v>
      </c>
      <c r="W16" s="252">
        <f t="shared" si="6"/>
        <v>3530000</v>
      </c>
      <c r="X16" s="252">
        <f t="shared" si="2"/>
        <v>0</v>
      </c>
      <c r="Y16" s="252">
        <f t="shared" si="1"/>
        <v>3987461.0988659803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5.3902439024390243E-2</v>
      </c>
      <c r="I17" s="542">
        <f>(D17-M32)/E52*12</f>
        <v>4.1302341463414632E-2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7101253.9392215433</v>
      </c>
      <c r="T17" s="252">
        <f>$V$4</f>
        <v>2000000</v>
      </c>
      <c r="U17" s="254">
        <f t="shared" si="4"/>
        <v>386332.04903256829</v>
      </c>
      <c r="V17" s="254">
        <f t="shared" si="5"/>
        <v>91976.706275183256</v>
      </c>
      <c r="W17" s="252">
        <f t="shared" si="6"/>
        <v>3530000</v>
      </c>
      <c r="X17" s="252">
        <f t="shared" si="2"/>
        <v>2000000</v>
      </c>
      <c r="Y17" s="252">
        <f t="shared" si="1"/>
        <v>6049562.694529295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9142677.9205336682</v>
      </c>
      <c r="T18" s="252"/>
      <c r="U18" s="254">
        <f t="shared" si="4"/>
        <v>399551.48277450632</v>
      </c>
      <c r="V18" s="254">
        <f t="shared" si="5"/>
        <v>99784.376902701581</v>
      </c>
      <c r="W18" s="252">
        <f t="shared" si="6"/>
        <v>5530000</v>
      </c>
      <c r="X18" s="252">
        <f t="shared" si="2"/>
        <v>0</v>
      </c>
      <c r="Y18" s="252">
        <f t="shared" si="1"/>
        <v>4112013.7802108768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15595.2</v>
      </c>
      <c r="D19" s="535">
        <f>C19/12</f>
        <v>1299.6000000000001</v>
      </c>
      <c r="E19" s="534">
        <f>SUM(E14:E18)</f>
        <v>-1553.1733333333332</v>
      </c>
      <c r="F19" s="391"/>
      <c r="G19" s="547" t="s">
        <v>56</v>
      </c>
      <c r="H19" s="548" t="s">
        <v>57</v>
      </c>
      <c r="I19" s="549">
        <f>SUM(D6:D18)</f>
        <v>36636.333333333336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9196010.2084034476</v>
      </c>
      <c r="T19" s="252"/>
      <c r="U19" s="254">
        <f t="shared" si="4"/>
        <v>412881.07846429385</v>
      </c>
      <c r="V19" s="254">
        <f t="shared" si="5"/>
        <v>107592.0475302199</v>
      </c>
      <c r="W19" s="252">
        <f t="shared" si="6"/>
        <v>5530000</v>
      </c>
      <c r="X19" s="252">
        <f t="shared" si="2"/>
        <v>0</v>
      </c>
      <c r="Y19" s="252">
        <f t="shared" si="1"/>
        <v>4186483.3343979623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9249653.6012858022</v>
      </c>
      <c r="T20" s="252"/>
      <c r="U20" s="254">
        <f t="shared" si="4"/>
        <v>426321.75411816296</v>
      </c>
      <c r="V20" s="254">
        <f t="shared" si="5"/>
        <v>115399.71815773823</v>
      </c>
      <c r="W20" s="252">
        <f t="shared" si="6"/>
        <v>5530000</v>
      </c>
      <c r="X20" s="252">
        <f t="shared" si="2"/>
        <v>0</v>
      </c>
      <c r="Y20" s="252">
        <f t="shared" si="1"/>
        <v>4261375.0735617038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9303609.9139599688</v>
      </c>
      <c r="T21" s="252"/>
      <c r="U21" s="254">
        <f t="shared" si="4"/>
        <v>439874.435402481</v>
      </c>
      <c r="V21" s="254">
        <f t="shared" si="5"/>
        <v>123207.38878525655</v>
      </c>
      <c r="W21" s="252">
        <f t="shared" si="6"/>
        <v>5530000</v>
      </c>
      <c r="X21" s="252">
        <f t="shared" si="2"/>
        <v>0</v>
      </c>
      <c r="Y21" s="252">
        <f t="shared" si="1"/>
        <v>4336691.7381477058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85694.642469780098</v>
      </c>
      <c r="D22" s="409">
        <f>PMT(M22/12, 25*12, -M75)</f>
        <v>7141.2202058150078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9357880.9717914015</v>
      </c>
      <c r="T22" s="252"/>
      <c r="U22" s="254">
        <f t="shared" si="4"/>
        <v>453540.05569750164</v>
      </c>
      <c r="V22" s="254">
        <f t="shared" si="5"/>
        <v>131015.05941277488</v>
      </c>
      <c r="W22" s="252">
        <f t="shared" si="6"/>
        <v>5530000</v>
      </c>
      <c r="X22" s="252">
        <f t="shared" si="2"/>
        <v>0</v>
      </c>
      <c r="Y22" s="252">
        <f t="shared" si="1"/>
        <v>4412436.0869016778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9412468.6107935179</v>
      </c>
      <c r="T23" s="252"/>
      <c r="U23" s="254">
        <f t="shared" si="4"/>
        <v>467319.55616164749</v>
      </c>
      <c r="V23" s="254">
        <f t="shared" si="5"/>
        <v>138822.73004029322</v>
      </c>
      <c r="W23" s="252">
        <f t="shared" si="6"/>
        <v>5530000</v>
      </c>
      <c r="X23" s="252">
        <f t="shared" si="2"/>
        <v>0</v>
      </c>
      <c r="Y23" s="252">
        <f t="shared" si="1"/>
        <v>4488610.8969954588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7807.6706275183278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9467374.6776898131</v>
      </c>
      <c r="T24" s="252"/>
      <c r="U24" s="254">
        <f t="shared" si="4"/>
        <v>481213.88579632784</v>
      </c>
      <c r="V24" s="254">
        <f t="shared" si="5"/>
        <v>146630.40066781154</v>
      </c>
      <c r="W24" s="252">
        <f t="shared" si="6"/>
        <v>5530000</v>
      </c>
      <c r="X24" s="252">
        <f t="shared" si="2"/>
        <v>0</v>
      </c>
      <c r="Y24" s="252">
        <f t="shared" si="1"/>
        <v>4565218.964153951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9522601.0299763363</v>
      </c>
      <c r="T25" s="252"/>
      <c r="U25" s="254">
        <f t="shared" si="4"/>
        <v>495224.00151129725</v>
      </c>
      <c r="V25" s="254">
        <f t="shared" si="5"/>
        <v>154438.07129532986</v>
      </c>
      <c r="W25" s="252">
        <f t="shared" si="6"/>
        <v>5530000</v>
      </c>
      <c r="X25" s="252">
        <f t="shared" si="2"/>
        <v>0</v>
      </c>
      <c r="Y25" s="252">
        <f t="shared" si="1"/>
        <v>4642263.1027829647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9578149.535984531</v>
      </c>
      <c r="T26" s="252"/>
      <c r="U26" s="254">
        <f t="shared" si="4"/>
        <v>509350.86819055805</v>
      </c>
      <c r="V26" s="254">
        <f t="shared" si="5"/>
        <v>162245.74192284819</v>
      </c>
      <c r="W26" s="252">
        <f t="shared" si="6"/>
        <v>5530000</v>
      </c>
      <c r="X26" s="252">
        <f t="shared" si="2"/>
        <v>0</v>
      </c>
      <c r="Y26" s="252">
        <f t="shared" si="1"/>
        <v>4719746.1460979376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9634022.0749444403</v>
      </c>
      <c r="T27" s="252"/>
      <c r="U27" s="254">
        <f t="shared" si="4"/>
        <v>523595.45875881269</v>
      </c>
      <c r="V27" s="254">
        <f t="shared" si="5"/>
        <v>170053.41255036651</v>
      </c>
      <c r="W27" s="252">
        <f t="shared" si="6"/>
        <v>5530000</v>
      </c>
      <c r="X27" s="252">
        <f t="shared" si="2"/>
        <v>0</v>
      </c>
      <c r="Y27" s="252">
        <f t="shared" si="1"/>
        <v>4797670.9462536201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9690220.537048284</v>
      </c>
      <c r="T28" s="252">
        <f>$V$4</f>
        <v>2000000</v>
      </c>
      <c r="U28" s="254">
        <f t="shared" si="4"/>
        <v>537958.75424846949</v>
      </c>
      <c r="V28" s="254">
        <f t="shared" si="5"/>
        <v>177861.08317788484</v>
      </c>
      <c r="W28" s="252">
        <f t="shared" si="6"/>
        <v>5530000</v>
      </c>
      <c r="X28" s="252">
        <f t="shared" si="2"/>
        <v>2000000</v>
      </c>
      <c r="Y28" s="252">
        <f t="shared" si="1"/>
        <v>6876040.3744746391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11746746.8235144</v>
      </c>
      <c r="T29" s="252"/>
      <c r="U29" s="254">
        <f t="shared" si="4"/>
        <v>552441.74386720674</v>
      </c>
      <c r="V29" s="254">
        <f t="shared" si="5"/>
        <v>185668.75380540316</v>
      </c>
      <c r="W29" s="252">
        <f t="shared" si="6"/>
        <v>7530000</v>
      </c>
      <c r="X29" s="252">
        <f t="shared" si="2"/>
        <v>0</v>
      </c>
      <c r="Y29" s="252">
        <f t="shared" si="1"/>
        <v>4954857.32118701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11815269.513318235</v>
      </c>
      <c r="T30" s="252"/>
      <c r="U30" s="254">
        <f t="shared" si="4"/>
        <v>567045.42506610008</v>
      </c>
      <c r="V30" s="254">
        <f t="shared" si="5"/>
        <v>193476.42443292149</v>
      </c>
      <c r="W30" s="252">
        <f t="shared" si="6"/>
        <v>7530000</v>
      </c>
      <c r="X30" s="252">
        <f t="shared" si="2"/>
        <v>0</v>
      </c>
      <c r="Y30" s="252">
        <f t="shared" si="1"/>
        <v>5045791.3628172576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11884191.918812592</v>
      </c>
      <c r="T31" s="252"/>
      <c r="U31" s="254">
        <f t="shared" si="4"/>
        <v>581770.80360831751</v>
      </c>
      <c r="V31" s="254">
        <f t="shared" si="5"/>
        <v>201284.09506043981</v>
      </c>
      <c r="W31" s="252">
        <f t="shared" si="6"/>
        <v>7530000</v>
      </c>
      <c r="X31" s="252">
        <f t="shared" si="2"/>
        <v>0</v>
      </c>
      <c r="Y31" s="252">
        <f t="shared" si="1"/>
        <v>5137246.8174813483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28828.662705815008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11953516.371672332</v>
      </c>
      <c r="T32" s="252"/>
      <c r="U32" s="254">
        <f t="shared" si="4"/>
        <v>596618.89363838686</v>
      </c>
      <c r="V32" s="254">
        <f t="shared" si="5"/>
        <v>209091.76568795813</v>
      </c>
      <c r="W32" s="252">
        <f t="shared" si="6"/>
        <v>7530000</v>
      </c>
      <c r="X32" s="252">
        <f t="shared" si="2"/>
        <v>0</v>
      </c>
      <c r="Y32" s="252">
        <f t="shared" si="1"/>
        <v>5229227.030998677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12023245.217173755</v>
      </c>
      <c r="T33" s="252"/>
      <c r="U33" s="254">
        <f t="shared" si="4"/>
        <v>611590.71775204001</v>
      </c>
      <c r="V33" s="254">
        <f t="shared" si="5"/>
        <v>216899.43631547646</v>
      </c>
      <c r="W33" s="252">
        <f t="shared" si="6"/>
        <v>7530000</v>
      </c>
      <c r="X33" s="252">
        <f t="shared" si="2"/>
        <v>0</v>
      </c>
      <c r="Y33" s="252">
        <f t="shared" si="1"/>
        <v>5321735.3712412715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12093380.814273935</v>
      </c>
      <c r="T34" s="252"/>
      <c r="U34" s="254">
        <f t="shared" si="4"/>
        <v>626687.30706664035</v>
      </c>
      <c r="V34" s="254">
        <f t="shared" si="5"/>
        <v>224707.10694299478</v>
      </c>
      <c r="W34" s="252">
        <f t="shared" si="6"/>
        <v>7530000</v>
      </c>
      <c r="X34" s="252">
        <f t="shared" si="2"/>
        <v>0</v>
      </c>
      <c r="Y34" s="252">
        <f t="shared" si="1"/>
        <v>5414775.2282835692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12163925.535690533</v>
      </c>
      <c r="T35" s="252"/>
      <c r="U35" s="254">
        <f t="shared" si="4"/>
        <v>641909.70129219571</v>
      </c>
      <c r="V35" s="254">
        <f t="shared" si="5"/>
        <v>232514.77757051311</v>
      </c>
      <c r="W35" s="252">
        <f t="shared" si="6"/>
        <v>7530000</v>
      </c>
      <c r="X35" s="252">
        <f t="shared" si="2"/>
        <v>0</v>
      </c>
      <c r="Y35" s="252">
        <f t="shared" si="1"/>
        <v>5508350.0145532433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12234881.767982062</v>
      </c>
      <c r="T36" s="252"/>
      <c r="U36" s="254">
        <f t="shared" si="4"/>
        <v>657258.94880296395</v>
      </c>
      <c r="V36" s="254">
        <f t="shared" si="5"/>
        <v>240322.44819803143</v>
      </c>
      <c r="W36" s="252">
        <f t="shared" si="6"/>
        <v>7530000</v>
      </c>
      <c r="X36" s="252">
        <f t="shared" si="2"/>
        <v>0</v>
      </c>
      <c r="Y36" s="252">
        <f t="shared" si="1"/>
        <v>5602463.1649830583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12306251.911628624</v>
      </c>
      <c r="T37" s="252"/>
      <c r="U37" s="254">
        <f t="shared" si="4"/>
        <v>672736.10670965526</v>
      </c>
      <c r="V37" s="254">
        <f t="shared" si="5"/>
        <v>248130.11882554975</v>
      </c>
      <c r="W37" s="252">
        <f t="shared" si="6"/>
        <v>7530000</v>
      </c>
      <c r="X37" s="252">
        <f t="shared" si="2"/>
        <v>0</v>
      </c>
      <c r="Y37" s="252">
        <f t="shared" si="1"/>
        <v>5697118.1371638291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13900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12378038.381113125</v>
      </c>
      <c r="T38" s="252"/>
      <c r="U38" s="254">
        <f t="shared" si="4"/>
        <v>688342.24093223573</v>
      </c>
      <c r="V38" s="254">
        <f t="shared" si="5"/>
        <v>255937.78945306808</v>
      </c>
      <c r="W38" s="252">
        <f t="shared" si="6"/>
        <v>7530000</v>
      </c>
      <c r="X38" s="252">
        <f t="shared" si="2"/>
        <v>0</v>
      </c>
      <c r="Y38" s="252">
        <f t="shared" si="1"/>
        <v>5792318.4114984293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8400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12450243.605002953</v>
      </c>
      <c r="T39" s="252"/>
      <c r="U39" s="254">
        <f t="shared" si="4"/>
        <v>704078.42627333768</v>
      </c>
      <c r="V39" s="254">
        <f t="shared" si="5"/>
        <v>263745.46008058643</v>
      </c>
      <c r="W39" s="252">
        <f t="shared" si="6"/>
        <v>7530000</v>
      </c>
      <c r="X39" s="252">
        <f t="shared" si="2"/>
        <v>0</v>
      </c>
      <c r="Y39" s="252">
        <f t="shared" si="1"/>
        <v>5888067.4913568776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12522870.026032137</v>
      </c>
      <c r="T40" s="252">
        <f>$V$4</f>
        <v>2000000</v>
      </c>
      <c r="U40" s="254">
        <f t="shared" si="4"/>
        <v>719945.74649228214</v>
      </c>
      <c r="V40" s="254">
        <f t="shared" si="5"/>
        <v>271553.13070810476</v>
      </c>
      <c r="W40" s="252">
        <f t="shared" si="6"/>
        <v>7530000</v>
      </c>
      <c r="X40" s="252">
        <f t="shared" si="2"/>
        <v>2000000</v>
      </c>
      <c r="Y40" s="252">
        <f t="shared" si="1"/>
        <v>7984368.9032325223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14595920.101183992</v>
      </c>
      <c r="T41" s="252"/>
      <c r="U41" s="254">
        <f t="shared" si="4"/>
        <v>735945.29437971779</v>
      </c>
      <c r="V41" s="254">
        <f t="shared" si="5"/>
        <v>279360.80133562308</v>
      </c>
      <c r="W41" s="252">
        <f t="shared" si="6"/>
        <v>9530000</v>
      </c>
      <c r="X41" s="252">
        <f t="shared" si="2"/>
        <v>0</v>
      </c>
      <c r="Y41" s="252">
        <f t="shared" si="1"/>
        <v>6081226.196899334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14681062.9684409</v>
      </c>
      <c r="T42" s="252"/>
      <c r="U42" s="254">
        <f t="shared" si="4"/>
        <v>752078.1718328821</v>
      </c>
      <c r="V42" s="254">
        <f t="shared" si="5"/>
        <v>287168.4719631414</v>
      </c>
      <c r="W42" s="252">
        <f t="shared" si="6"/>
        <v>9530000</v>
      </c>
      <c r="X42" s="252">
        <f t="shared" si="2"/>
        <v>0</v>
      </c>
      <c r="Y42" s="252">
        <f t="shared" si="1"/>
        <v>6190309.6122369226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260000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14766702.502423473</v>
      </c>
      <c r="T43" s="252"/>
      <c r="U43" s="254">
        <f t="shared" si="4"/>
        <v>768345.48993148946</v>
      </c>
      <c r="V43" s="254">
        <f t="shared" si="5"/>
        <v>294976.14259065973</v>
      </c>
      <c r="W43" s="252">
        <f t="shared" si="6"/>
        <v>9530000</v>
      </c>
      <c r="X43" s="252">
        <f t="shared" si="2"/>
        <v>0</v>
      </c>
      <c r="Y43" s="252">
        <f t="shared" si="1"/>
        <v>6300024.1349456236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14852841.600354277</v>
      </c>
      <c r="T44" s="252"/>
      <c r="U44" s="254">
        <f t="shared" si="4"/>
        <v>784748.36901425186</v>
      </c>
      <c r="V44" s="254">
        <f t="shared" si="5"/>
        <v>302783.81321817805</v>
      </c>
      <c r="W44" s="252">
        <f t="shared" si="6"/>
        <v>9530000</v>
      </c>
      <c r="X44" s="252">
        <f t="shared" si="2"/>
        <v>0</v>
      </c>
      <c r="Y44" s="252">
        <f t="shared" si="1"/>
        <v>6410373.7825867068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14939483.176356344</v>
      </c>
      <c r="T45" s="252"/>
      <c r="U45" s="254">
        <f t="shared" si="4"/>
        <v>801287.93875603727</v>
      </c>
      <c r="V45" s="254">
        <f t="shared" si="5"/>
        <v>310591.48384569638</v>
      </c>
      <c r="W45" s="252">
        <f t="shared" si="6"/>
        <v>9530000</v>
      </c>
      <c r="X45" s="252">
        <f t="shared" si="2"/>
        <v>0</v>
      </c>
      <c r="Y45" s="252">
        <f t="shared" si="1"/>
        <v>6521362.5989580769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15026630.161551757</v>
      </c>
      <c r="T46" s="252"/>
      <c r="U46" s="254">
        <f t="shared" si="4"/>
        <v>817965.33824567089</v>
      </c>
      <c r="V46" s="254">
        <f t="shared" si="5"/>
        <v>318399.1544732147</v>
      </c>
      <c r="W46" s="252">
        <f t="shared" si="6"/>
        <v>9530000</v>
      </c>
      <c r="X46" s="252">
        <f t="shared" si="2"/>
        <v>0</v>
      </c>
      <c r="Y46" s="252">
        <f t="shared" si="1"/>
        <v>6632994.6542706434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15114285.504160808</v>
      </c>
      <c r="T47" s="252"/>
      <c r="U47" s="254">
        <f t="shared" si="4"/>
        <v>834781.71606438479</v>
      </c>
      <c r="V47" s="254">
        <f t="shared" si="5"/>
        <v>326206.82510073303</v>
      </c>
      <c r="W47" s="252">
        <f t="shared" si="6"/>
        <v>9530000</v>
      </c>
      <c r="X47" s="252">
        <f t="shared" si="2"/>
        <v>0</v>
      </c>
      <c r="Y47" s="252">
        <f t="shared" si="1"/>
        <v>6745274.0453259256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2328000</v>
      </c>
      <c r="E48" s="433">
        <f t="shared" ref="E48:E53" si="10">M62</f>
        <v>3500000</v>
      </c>
      <c r="F48" s="366"/>
      <c r="G48" s="365" t="s">
        <v>6</v>
      </c>
      <c r="H48" s="201"/>
      <c r="I48" s="434">
        <f>M75</f>
        <v>1172000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15202452.169601746</v>
      </c>
      <c r="T48" s="252"/>
      <c r="U48" s="254">
        <f t="shared" si="4"/>
        <v>851738.23036492127</v>
      </c>
      <c r="V48" s="254">
        <f t="shared" si="5"/>
        <v>334014.49572825135</v>
      </c>
      <c r="W48" s="252">
        <f t="shared" si="6"/>
        <v>9530000</v>
      </c>
      <c r="X48" s="252">
        <f t="shared" si="2"/>
        <v>0</v>
      </c>
      <c r="Y48" s="252">
        <f t="shared" si="1"/>
        <v>6858204.8956949171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528000</v>
      </c>
      <c r="E49" s="433">
        <f t="shared" si="10"/>
        <v>1040000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15291133.140591091</v>
      </c>
      <c r="T49" s="252"/>
      <c r="U49" s="254">
        <f t="shared" si="4"/>
        <v>868836.04895129555</v>
      </c>
      <c r="V49" s="254">
        <f t="shared" si="5"/>
        <v>341822.16635576967</v>
      </c>
      <c r="W49" s="252">
        <f t="shared" si="6"/>
        <v>9530000</v>
      </c>
      <c r="X49" s="252">
        <f t="shared" si="2"/>
        <v>0</v>
      </c>
      <c r="Y49" s="252">
        <f t="shared" si="1"/>
        <v>6971791.3558981568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350000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15380331.417244539</v>
      </c>
      <c r="T50" s="252"/>
      <c r="U50" s="254">
        <f t="shared" si="4"/>
        <v>886076.34935922304</v>
      </c>
      <c r="V50" s="254">
        <f t="shared" si="5"/>
        <v>349629.836983288</v>
      </c>
      <c r="W50" s="252">
        <f t="shared" si="6"/>
        <v>9530000</v>
      </c>
      <c r="X50" s="252">
        <f t="shared" si="2"/>
        <v>0</v>
      </c>
      <c r="Y50" s="252">
        <f t="shared" si="1"/>
        <v>7086037.60358705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-20000</v>
      </c>
      <c r="E51" s="433">
        <f t="shared" si="10"/>
        <v>760000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15470050.017178465</v>
      </c>
      <c r="T51" s="252"/>
      <c r="U51" s="254">
        <f t="shared" si="4"/>
        <v>903460.31893721654</v>
      </c>
      <c r="V51" s="254">
        <f t="shared" si="5"/>
        <v>357437.50761080632</v>
      </c>
      <c r="W51" s="252">
        <f t="shared" si="6"/>
        <v>9530000</v>
      </c>
      <c r="X51" s="252">
        <f t="shared" si="2"/>
        <v>0</v>
      </c>
      <c r="Y51" s="252">
        <f t="shared" si="1"/>
        <v>7200947.8437264878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-4000</v>
      </c>
      <c r="E52" s="433">
        <f t="shared" si="10"/>
        <v>820000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13900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15560291.975612005</v>
      </c>
      <c r="T52" s="252">
        <f>$V$4</f>
        <v>2000000</v>
      </c>
      <c r="U52" s="254">
        <f t="shared" si="4"/>
        <v>920989.15492836002</v>
      </c>
      <c r="V52" s="254">
        <f t="shared" si="5"/>
        <v>365245.17823832465</v>
      </c>
      <c r="W52" s="252">
        <f t="shared" si="6"/>
        <v>9530000</v>
      </c>
      <c r="X52" s="252">
        <f t="shared" si="2"/>
        <v>2000000</v>
      </c>
      <c r="Y52" s="252">
        <f t="shared" si="1"/>
        <v>9316526.308778692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>
        <v>8400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17651060.345469743</v>
      </c>
      <c r="T53" s="252"/>
      <c r="U53" s="254">
        <f t="shared" si="4"/>
        <v>938664.06455276301</v>
      </c>
      <c r="V53" s="254">
        <f t="shared" si="5"/>
        <v>373052.84886584297</v>
      </c>
      <c r="W53" s="252">
        <f t="shared" si="6"/>
        <v>11530000</v>
      </c>
      <c r="X53" s="252">
        <f t="shared" si="2"/>
        <v>0</v>
      </c>
      <c r="Y53" s="252">
        <f t="shared" si="1"/>
        <v>7432777.2588883489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17754024.864151649</v>
      </c>
      <c r="T54" s="252"/>
      <c r="U54" s="254">
        <f t="shared" si="4"/>
        <v>956486.26509070268</v>
      </c>
      <c r="V54" s="254">
        <f t="shared" si="5"/>
        <v>380860.51949336129</v>
      </c>
      <c r="W54" s="252">
        <f t="shared" si="6"/>
        <v>11530000</v>
      </c>
      <c r="X54" s="252">
        <f t="shared" si="2"/>
        <v>0</v>
      </c>
      <c r="Y54" s="252">
        <f t="shared" si="1"/>
        <v>7561371.6487357132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17857590.009192534</v>
      </c>
      <c r="T55" s="252"/>
      <c r="U55" s="254">
        <f t="shared" si="4"/>
        <v>974456.98396645847</v>
      </c>
      <c r="V55" s="254">
        <f t="shared" si="5"/>
        <v>388668.19012087962</v>
      </c>
      <c r="W55" s="252">
        <f t="shared" si="6"/>
        <v>11530000</v>
      </c>
      <c r="X55" s="252">
        <f t="shared" si="2"/>
        <v>0</v>
      </c>
      <c r="Y55" s="252">
        <f t="shared" si="1"/>
        <v>7690715.1832798719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7402300</v>
      </c>
      <c r="F56" s="366"/>
      <c r="G56" s="441"/>
      <c r="H56" s="420"/>
      <c r="I56" s="442"/>
      <c r="J56" s="18"/>
      <c r="K56" s="205"/>
      <c r="L56" s="212" t="s">
        <v>80</v>
      </c>
      <c r="M56" s="223">
        <v>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17961759.284246158</v>
      </c>
      <c r="T56" s="252"/>
      <c r="U56" s="254">
        <f t="shared" si="4"/>
        <v>992577.45883284556</v>
      </c>
      <c r="V56" s="254">
        <f t="shared" si="5"/>
        <v>396475.86074839794</v>
      </c>
      <c r="W56" s="252">
        <f t="shared" si="6"/>
        <v>11530000</v>
      </c>
      <c r="X56" s="252">
        <f t="shared" si="2"/>
        <v>0</v>
      </c>
      <c r="Y56" s="252">
        <f t="shared" si="1"/>
        <v>7820812.603827402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6982300</v>
      </c>
      <c r="F57" s="416"/>
      <c r="G57" s="553" t="s">
        <v>59</v>
      </c>
      <c r="H57" s="554"/>
      <c r="I57" s="555">
        <f>SUM(I38:I56)</f>
        <v>3530000</v>
      </c>
      <c r="K57" s="205"/>
      <c r="L57" s="212" t="s">
        <v>336</v>
      </c>
      <c r="M57" s="223">
        <v>260000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18066536.213404261</v>
      </c>
      <c r="T57" s="252"/>
      <c r="U57" s="254">
        <f t="shared" si="4"/>
        <v>1010848.9376564525</v>
      </c>
      <c r="V57" s="254">
        <f t="shared" si="5"/>
        <v>404283.53137591627</v>
      </c>
      <c r="W57" s="252">
        <f t="shared" si="6"/>
        <v>11530000</v>
      </c>
      <c r="X57" s="252">
        <f t="shared" si="2"/>
        <v>0</v>
      </c>
      <c r="Y57" s="252">
        <f t="shared" si="1"/>
        <v>7951668.6824366264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18171924.341315787</v>
      </c>
      <c r="T58" s="252"/>
      <c r="U58" s="254">
        <f t="shared" si="4"/>
        <v>1029272.6788035897</v>
      </c>
      <c r="V58" s="254">
        <f t="shared" si="5"/>
        <v>412091.20200343459</v>
      </c>
      <c r="W58" s="252">
        <f t="shared" si="6"/>
        <v>11530000</v>
      </c>
      <c r="X58" s="252">
        <f t="shared" si="2"/>
        <v>0</v>
      </c>
      <c r="Y58" s="252">
        <f t="shared" si="1"/>
        <v>8083288.2221228108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18277927.233306795</v>
      </c>
      <c r="T59" s="252"/>
      <c r="U59" s="254">
        <f t="shared" si="4"/>
        <v>1047849.9511269529</v>
      </c>
      <c r="V59" s="254">
        <f t="shared" si="5"/>
        <v>419898.87263095292</v>
      </c>
      <c r="W59" s="252">
        <f t="shared" si="6"/>
        <v>11530000</v>
      </c>
      <c r="X59" s="252">
        <f t="shared" si="2"/>
        <v>0</v>
      </c>
      <c r="Y59" s="252">
        <f t="shared" si="1"/>
        <v>8215676.0570647009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18384548.475501087</v>
      </c>
      <c r="T60" s="252"/>
      <c r="U60" s="254">
        <f t="shared" si="4"/>
        <v>1066582.0340530109</v>
      </c>
      <c r="V60" s="254">
        <f t="shared" si="5"/>
        <v>427706.54325847124</v>
      </c>
      <c r="W60" s="252">
        <f t="shared" si="6"/>
        <v>11530000</v>
      </c>
      <c r="X60" s="252">
        <f t="shared" si="2"/>
        <v>0</v>
      </c>
      <c r="Y60" s="252">
        <f t="shared" si="1"/>
        <v>8348837.0528125651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18491791.67494151</v>
      </c>
      <c r="T61" s="252"/>
      <c r="U61" s="254">
        <f t="shared" si="4"/>
        <v>1085470.2176701194</v>
      </c>
      <c r="V61" s="254">
        <f t="shared" si="5"/>
        <v>435514.21388598956</v>
      </c>
      <c r="W61" s="252">
        <f t="shared" si="6"/>
        <v>11530000</v>
      </c>
      <c r="X61" s="252">
        <f t="shared" si="2"/>
        <v>0</v>
      </c>
      <c r="Y61" s="252">
        <f t="shared" si="1"/>
        <v>8482776.1064976193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3500000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18599660.459712002</v>
      </c>
      <c r="T62" s="252"/>
      <c r="U62" s="254">
        <f t="shared" si="4"/>
        <v>1104515.8028173703</v>
      </c>
      <c r="V62" s="254">
        <f t="shared" si="5"/>
        <v>443321.88451350789</v>
      </c>
      <c r="W62" s="252">
        <f t="shared" si="6"/>
        <v>11530000</v>
      </c>
      <c r="X62" s="252">
        <f t="shared" si="2"/>
        <v>0</v>
      </c>
      <c r="Y62" s="252">
        <f t="shared" si="1"/>
        <v>8617498.1470428817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1040000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18708158.479060322</v>
      </c>
      <c r="T63" s="252"/>
      <c r="U63" s="254">
        <f t="shared" si="4"/>
        <v>1123720.1011741816</v>
      </c>
      <c r="V63" s="254">
        <f t="shared" si="5"/>
        <v>451129.55514102621</v>
      </c>
      <c r="W63" s="252">
        <f t="shared" si="6"/>
        <v>11530000</v>
      </c>
      <c r="X63" s="252">
        <f t="shared" si="2"/>
        <v>0</v>
      </c>
      <c r="Y63" s="252">
        <f t="shared" si="1"/>
        <v>8753008.1353755333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18817289.403521508</v>
      </c>
      <c r="T64" s="252">
        <f>$V$4</f>
        <v>2000000</v>
      </c>
      <c r="U64" s="254">
        <f t="shared" si="4"/>
        <v>1143084.435350633</v>
      </c>
      <c r="V64" s="254">
        <f t="shared" si="5"/>
        <v>458937.22576854454</v>
      </c>
      <c r="W64" s="252">
        <f t="shared" si="6"/>
        <v>11530000</v>
      </c>
      <c r="X64" s="252">
        <f t="shared" si="2"/>
        <v>2000000</v>
      </c>
      <c r="Y64" s="252">
        <f t="shared" si="1"/>
        <v>10889311.064640686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3452300</v>
      </c>
      <c r="E65" s="200"/>
      <c r="F65" s="201"/>
      <c r="G65" s="202" t="s">
        <v>158</v>
      </c>
      <c r="H65" s="203" t="s">
        <v>114</v>
      </c>
      <c r="I65" s="204">
        <f>I19-I32</f>
        <v>7807.6706275183278</v>
      </c>
      <c r="J65" s="18"/>
      <c r="K65" s="205"/>
      <c r="L65" s="212" t="s">
        <v>214</v>
      </c>
      <c r="M65" s="223">
        <v>760000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20927056.925042052</v>
      </c>
      <c r="T65" s="252"/>
      <c r="U65" s="254">
        <f t="shared" si="4"/>
        <v>1162610.1389785549</v>
      </c>
      <c r="V65" s="254">
        <f t="shared" si="5"/>
        <v>466744.89639606286</v>
      </c>
      <c r="W65" s="252">
        <f t="shared" si="6"/>
        <v>13530000</v>
      </c>
      <c r="X65" s="252">
        <f t="shared" si="2"/>
        <v>0</v>
      </c>
      <c r="Y65" s="252">
        <f t="shared" si="1"/>
        <v>9026411.9604166709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820000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21049131.423771463</v>
      </c>
      <c r="T66" s="252"/>
      <c r="U66" s="254">
        <f t="shared" si="4"/>
        <v>1182298.5568033762</v>
      </c>
      <c r="V66" s="254">
        <f t="shared" si="5"/>
        <v>474552.56702358118</v>
      </c>
      <c r="W66" s="252">
        <f t="shared" si="6"/>
        <v>13530000</v>
      </c>
      <c r="X66" s="252">
        <f t="shared" si="2"/>
        <v>0</v>
      </c>
      <c r="Y66" s="252">
        <f t="shared" si="1"/>
        <v>9175982.5475984216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3872300</v>
      </c>
      <c r="E67" s="459"/>
      <c r="F67" s="366"/>
      <c r="G67" s="461" t="s">
        <v>113</v>
      </c>
      <c r="H67" s="461" t="s">
        <v>115</v>
      </c>
      <c r="I67" s="462">
        <f>I65*12</f>
        <v>93692.047530219934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1124300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6558.4433271153957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3518000</v>
      </c>
      <c r="E72" s="464"/>
      <c r="F72" s="201"/>
      <c r="G72" s="195" t="s">
        <v>1</v>
      </c>
      <c r="H72" s="195" t="s">
        <v>114</v>
      </c>
      <c r="I72" s="196">
        <f>H5</f>
        <v>13636.333333333334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6700000</v>
      </c>
      <c r="E74" s="464"/>
      <c r="F74" s="201"/>
      <c r="G74" s="195" t="s">
        <v>251</v>
      </c>
      <c r="H74" s="195" t="s">
        <v>114</v>
      </c>
      <c r="I74" s="196">
        <f>I32-H5</f>
        <v>15192.329372481674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516600.00000000006</v>
      </c>
      <c r="E75" s="464"/>
      <c r="F75" s="201"/>
      <c r="G75" s="456"/>
      <c r="H75" s="195" t="s">
        <v>115</v>
      </c>
      <c r="I75" s="196">
        <f>I74*12</f>
        <v>182307.95246978008</v>
      </c>
      <c r="K75" s="205"/>
      <c r="L75" s="212" t="s">
        <v>335</v>
      </c>
      <c r="M75" s="223">
        <v>1172000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2804737.7303043087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3182000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0.52507462686567163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1842000.0000000002</v>
      </c>
      <c r="E81" s="464"/>
      <c r="F81" s="366"/>
      <c r="G81" s="380"/>
      <c r="H81" s="452"/>
      <c r="I81" s="407"/>
      <c r="K81" s="205"/>
      <c r="L81" s="212"/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</f>
        <v>22300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9210000</v>
      </c>
      <c r="E83" s="464"/>
      <c r="F83" s="366"/>
      <c r="G83" s="475" t="s">
        <v>163</v>
      </c>
      <c r="H83" s="475"/>
      <c r="I83" s="477">
        <f>SUM(E41:E43)</f>
        <v>260000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282300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-2453943.3658346906</v>
      </c>
      <c r="E87" s="480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18.581745634829279</v>
      </c>
      <c r="L88" s="119" t="s">
        <v>284</v>
      </c>
      <c r="M88" s="120">
        <v>2100000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1.5484788029024399</v>
      </c>
      <c r="L89" s="119" t="s">
        <v>285</v>
      </c>
      <c r="M89" s="120">
        <v>451000</v>
      </c>
    </row>
    <row r="90" spans="2:26" ht="45" x14ac:dyDescent="0.45">
      <c r="B90" s="479" t="s">
        <v>117</v>
      </c>
      <c r="C90" s="480"/>
      <c r="D90" s="481">
        <f>PV(8%/12,30*12,H24,0)*-1</f>
        <v>1064056.6341653091</v>
      </c>
      <c r="E90" s="480"/>
      <c r="F90" s="366"/>
      <c r="G90" s="482" t="s">
        <v>161</v>
      </c>
      <c r="H90" s="482"/>
      <c r="I90" s="483">
        <f>H24/(I32-H5)</f>
        <v>0.5139218901915461</v>
      </c>
      <c r="L90" s="119" t="s">
        <v>286</v>
      </c>
      <c r="M90" s="120" t="s">
        <v>293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292</v>
      </c>
      <c r="M91" s="120">
        <v>1500000</v>
      </c>
    </row>
    <row r="92" spans="2:26" ht="35" customHeight="1" x14ac:dyDescent="0.35">
      <c r="D92" s="99"/>
      <c r="E92" s="22"/>
      <c r="L92" s="119" t="s">
        <v>287</v>
      </c>
      <c r="M92" s="120">
        <v>200000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291</v>
      </c>
      <c r="M93" s="120">
        <v>400000</v>
      </c>
    </row>
    <row r="94" spans="2:26" ht="35" customHeight="1" x14ac:dyDescent="0.35">
      <c r="D94" s="99"/>
      <c r="E94" s="98"/>
      <c r="F94" s="99"/>
      <c r="G94" s="99"/>
      <c r="H94" s="99"/>
      <c r="L94" s="247"/>
      <c r="M94" s="120">
        <f>SUM(M88:M93)</f>
        <v>4651000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248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22300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260000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854000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1136300</v>
      </c>
      <c r="I104" s="270">
        <f>H104*0.075</f>
        <v>85222.5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7334-BEEE-584A-A811-F0FD364A20CB}">
  <dimension ref="B1:AI137"/>
  <sheetViews>
    <sheetView showGridLines="0" topLeftCell="A39" zoomScale="50" zoomScaleNormal="50" workbookViewId="0">
      <selection activeCell="D83" sqref="B72:D83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12796.333333333334</v>
      </c>
      <c r="I5" s="377">
        <f>H5*12</f>
        <v>153556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6760000</v>
      </c>
      <c r="T7" s="252"/>
      <c r="U7" s="252">
        <f>SUM(E41:E43)</f>
        <v>33000</v>
      </c>
      <c r="V7" s="252">
        <f>$E$38</f>
        <v>7000</v>
      </c>
      <c r="W7" s="252">
        <f>$I$57</f>
        <v>3258000</v>
      </c>
      <c r="X7" s="252">
        <f>T7</f>
        <v>0</v>
      </c>
      <c r="Y7" s="252">
        <f t="shared" ref="Y7:Y66" si="1">SUM(S7:V7)-W7</f>
        <v>3542000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6799433.333333334</v>
      </c>
      <c r="T8" s="252"/>
      <c r="U8" s="254">
        <f>($V$2/12+1)*U7+$V$3</f>
        <v>43275</v>
      </c>
      <c r="V8" s="254">
        <f>V7+$I$65</f>
        <v>15043.871933666098</v>
      </c>
      <c r="W8" s="252">
        <f>W7+X7</f>
        <v>3258000</v>
      </c>
      <c r="X8" s="252">
        <f t="shared" ref="X8:X66" si="2">T8</f>
        <v>0</v>
      </c>
      <c r="Y8" s="252">
        <f t="shared" si="1"/>
        <v>3599752.205267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6839096.694444445</v>
      </c>
      <c r="T9" s="252"/>
      <c r="U9" s="254">
        <f t="shared" ref="U9:U66" si="4">($V$2/12+1)*U8+$V$3</f>
        <v>53635.625</v>
      </c>
      <c r="V9" s="254">
        <f t="shared" ref="V9:V66" si="5">V8+$I$65</f>
        <v>23087.743867332196</v>
      </c>
      <c r="W9" s="252">
        <f t="shared" ref="W9:W66" si="6">W8+X8</f>
        <v>3258000</v>
      </c>
      <c r="X9" s="252">
        <f t="shared" si="2"/>
        <v>0</v>
      </c>
      <c r="Y9" s="252">
        <f t="shared" si="1"/>
        <v>3657820.0633117771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6878991.4251620378</v>
      </c>
      <c r="T10" s="252"/>
      <c r="U10" s="254">
        <f t="shared" si="4"/>
        <v>64082.588541666664</v>
      </c>
      <c r="V10" s="254">
        <f t="shared" si="5"/>
        <v>31131.615800998294</v>
      </c>
      <c r="W10" s="252">
        <f t="shared" si="6"/>
        <v>3258000</v>
      </c>
      <c r="X10" s="252">
        <f t="shared" si="2"/>
        <v>0</v>
      </c>
      <c r="Y10" s="252">
        <f t="shared" si="1"/>
        <v>3716205.629504703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6919118.8751421496</v>
      </c>
      <c r="T11" s="252"/>
      <c r="U11" s="254">
        <f t="shared" si="4"/>
        <v>74616.610112847207</v>
      </c>
      <c r="V11" s="254">
        <f t="shared" si="5"/>
        <v>39175.487734664392</v>
      </c>
      <c r="W11" s="252">
        <f t="shared" si="6"/>
        <v>3258000</v>
      </c>
      <c r="X11" s="252">
        <f t="shared" si="2"/>
        <v>0</v>
      </c>
      <c r="Y11" s="252">
        <f t="shared" si="1"/>
        <v>3774910.9729896607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6959480.4019138124</v>
      </c>
      <c r="T12" s="252"/>
      <c r="U12" s="254">
        <f t="shared" si="4"/>
        <v>85238.415197120936</v>
      </c>
      <c r="V12" s="254">
        <f t="shared" si="5"/>
        <v>47219.359668330493</v>
      </c>
      <c r="W12" s="252">
        <f t="shared" si="6"/>
        <v>3258000</v>
      </c>
      <c r="X12" s="252">
        <f t="shared" si="2"/>
        <v>0</v>
      </c>
      <c r="Y12" s="252">
        <f t="shared" si="1"/>
        <v>3833938.1767792637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7000077.3709249767</v>
      </c>
      <c r="T13" s="252"/>
      <c r="U13" s="254">
        <f t="shared" si="4"/>
        <v>95948.735323763613</v>
      </c>
      <c r="V13" s="254">
        <f t="shared" si="5"/>
        <v>55263.231601996595</v>
      </c>
      <c r="W13" s="252">
        <f t="shared" si="6"/>
        <v>3258000</v>
      </c>
      <c r="X13" s="252">
        <f t="shared" si="2"/>
        <v>0</v>
      </c>
      <c r="Y13" s="252">
        <f t="shared" si="1"/>
        <v>3893289.3378507365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32240</v>
      </c>
      <c r="D14" s="378">
        <f>M14*52/12</f>
        <v>2686.6666666666665</v>
      </c>
      <c r="E14" s="392">
        <f>SUM(D14-D23)</f>
        <v>-369.66000000000031</v>
      </c>
      <c r="F14" s="391"/>
      <c r="G14" s="544" t="s">
        <v>68</v>
      </c>
      <c r="H14" s="539">
        <f>C14/E49</f>
        <v>2.9851851851851852E-2</v>
      </c>
      <c r="I14" s="542">
        <f>(D14-M29)/E49*12</f>
        <v>2.3104518518518521E-2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7040911.155588706</v>
      </c>
      <c r="T14" s="252"/>
      <c r="U14" s="254">
        <f t="shared" si="4"/>
        <v>106748.30811812831</v>
      </c>
      <c r="V14" s="254">
        <f t="shared" si="5"/>
        <v>63307.103535662696</v>
      </c>
      <c r="W14" s="252">
        <f t="shared" si="6"/>
        <v>3258000</v>
      </c>
      <c r="X14" s="252">
        <f t="shared" si="2"/>
        <v>0</v>
      </c>
      <c r="Y14" s="252">
        <f t="shared" si="1"/>
        <v>3952966.5672424966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1326.1666666666665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7081983.1373296399</v>
      </c>
      <c r="T15" s="252"/>
      <c r="U15" s="254">
        <f t="shared" si="4"/>
        <v>117637.87735244604</v>
      </c>
      <c r="V15" s="254">
        <f t="shared" si="5"/>
        <v>71350.975469328798</v>
      </c>
      <c r="W15" s="252">
        <f t="shared" si="6"/>
        <v>3258000</v>
      </c>
      <c r="X15" s="252">
        <f t="shared" si="2"/>
        <v>0</v>
      </c>
      <c r="Y15" s="252">
        <f t="shared" si="1"/>
        <v>4012971.9901514146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4.92987012987013E-2</v>
      </c>
      <c r="I16" s="542">
        <f>(D16-M31)/E51*12</f>
        <v>3.6474701298701298E-2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7123294.7056307299</v>
      </c>
      <c r="T16" s="252"/>
      <c r="U16" s="254">
        <f t="shared" si="4"/>
        <v>128618.19299704976</v>
      </c>
      <c r="V16" s="254">
        <f t="shared" si="5"/>
        <v>79394.847402994899</v>
      </c>
      <c r="W16" s="252">
        <f t="shared" si="6"/>
        <v>3258000</v>
      </c>
      <c r="X16" s="252">
        <f t="shared" si="2"/>
        <v>0</v>
      </c>
      <c r="Y16" s="252">
        <f t="shared" si="1"/>
        <v>4073307.746030774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5.3253012048192772E-2</v>
      </c>
      <c r="I17" s="542">
        <f>(D17-M32)/E52*12</f>
        <v>4.0804722891566267E-2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7164847.2580802422</v>
      </c>
      <c r="T17" s="252">
        <f>$V$4</f>
        <v>2000000</v>
      </c>
      <c r="U17" s="254">
        <f t="shared" si="4"/>
        <v>139690.01127202518</v>
      </c>
      <c r="V17" s="254">
        <f t="shared" si="5"/>
        <v>87438.719336661001</v>
      </c>
      <c r="W17" s="252">
        <f t="shared" si="6"/>
        <v>3258000</v>
      </c>
      <c r="X17" s="252">
        <f t="shared" si="2"/>
        <v>2000000</v>
      </c>
      <c r="Y17" s="252">
        <f t="shared" si="1"/>
        <v>6133975.9886889271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9206642.2004190441</v>
      </c>
      <c r="T18" s="252"/>
      <c r="U18" s="254">
        <f t="shared" si="4"/>
        <v>150854.09469929204</v>
      </c>
      <c r="V18" s="254">
        <f t="shared" si="5"/>
        <v>95482.591270327102</v>
      </c>
      <c r="W18" s="252">
        <f t="shared" si="6"/>
        <v>5258000</v>
      </c>
      <c r="X18" s="252">
        <f t="shared" si="2"/>
        <v>0</v>
      </c>
      <c r="Y18" s="252">
        <f t="shared" si="1"/>
        <v>4194978.8863886632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15595.2</v>
      </c>
      <c r="D19" s="535">
        <f>C19/12</f>
        <v>1299.6000000000001</v>
      </c>
      <c r="E19" s="534">
        <f>SUM(E14:E18)</f>
        <v>-1553.1733333333332</v>
      </c>
      <c r="F19" s="391"/>
      <c r="G19" s="547" t="s">
        <v>56</v>
      </c>
      <c r="H19" s="548" t="s">
        <v>57</v>
      </c>
      <c r="I19" s="549">
        <f>SUM(D6:D18)</f>
        <v>34796.333333333336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9260347.6132548228</v>
      </c>
      <c r="T19" s="252"/>
      <c r="U19" s="254">
        <f t="shared" si="4"/>
        <v>162111.21215511946</v>
      </c>
      <c r="V19" s="254">
        <f t="shared" si="5"/>
        <v>103526.4632039932</v>
      </c>
      <c r="W19" s="252">
        <f t="shared" si="6"/>
        <v>5258000</v>
      </c>
      <c r="X19" s="252">
        <f t="shared" si="2"/>
        <v>0</v>
      </c>
      <c r="Y19" s="252">
        <f t="shared" si="1"/>
        <v>4267985.2886139341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9314366.3076654766</v>
      </c>
      <c r="T20" s="252"/>
      <c r="U20" s="254">
        <f t="shared" si="4"/>
        <v>173462.13892307878</v>
      </c>
      <c r="V20" s="254">
        <f t="shared" si="5"/>
        <v>111570.33513765931</v>
      </c>
      <c r="W20" s="252">
        <f t="shared" si="6"/>
        <v>5258000</v>
      </c>
      <c r="X20" s="252">
        <f t="shared" si="2"/>
        <v>0</v>
      </c>
      <c r="Y20" s="252">
        <f t="shared" si="1"/>
        <v>4341398.781726215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9368700.1111268587</v>
      </c>
      <c r="T21" s="252"/>
      <c r="U21" s="254">
        <f t="shared" si="4"/>
        <v>184907.65674743775</v>
      </c>
      <c r="V21" s="254">
        <f t="shared" si="5"/>
        <v>119614.20707132541</v>
      </c>
      <c r="W21" s="252">
        <f t="shared" si="6"/>
        <v>5258000</v>
      </c>
      <c r="X21" s="252">
        <f t="shared" si="2"/>
        <v>0</v>
      </c>
      <c r="Y21" s="252">
        <f t="shared" si="1"/>
        <v>4415221.9749456216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60780.226796006857</v>
      </c>
      <c r="D22" s="592">
        <f>PMT(M22/12, 30*12, -M75)</f>
        <v>5065.0188996672377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9423350.8617750984</v>
      </c>
      <c r="T22" s="252"/>
      <c r="U22" s="254">
        <f t="shared" si="4"/>
        <v>196448.55388699973</v>
      </c>
      <c r="V22" s="254">
        <f t="shared" si="5"/>
        <v>127658.07900499151</v>
      </c>
      <c r="W22" s="252">
        <f t="shared" si="6"/>
        <v>5258000</v>
      </c>
      <c r="X22" s="252">
        <f t="shared" si="2"/>
        <v>0</v>
      </c>
      <c r="Y22" s="252">
        <f t="shared" si="1"/>
        <v>4489457.4946670905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9478320.4084687866</v>
      </c>
      <c r="T23" s="252"/>
      <c r="U23" s="254">
        <f t="shared" si="4"/>
        <v>208085.62516939139</v>
      </c>
      <c r="V23" s="254">
        <f t="shared" si="5"/>
        <v>135701.9509386576</v>
      </c>
      <c r="W23" s="252">
        <f t="shared" si="6"/>
        <v>5258000</v>
      </c>
      <c r="X23" s="252">
        <f t="shared" si="2"/>
        <v>0</v>
      </c>
      <c r="Y23" s="252">
        <f t="shared" si="1"/>
        <v>4564107.9845768344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8043.8719336660979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9533610.6108515207</v>
      </c>
      <c r="T24" s="252"/>
      <c r="U24" s="254">
        <f t="shared" si="4"/>
        <v>219819.67204580299</v>
      </c>
      <c r="V24" s="254">
        <f t="shared" si="5"/>
        <v>143745.82287232368</v>
      </c>
      <c r="W24" s="252">
        <f t="shared" si="6"/>
        <v>5258000</v>
      </c>
      <c r="X24" s="252">
        <f t="shared" si="2"/>
        <v>0</v>
      </c>
      <c r="Y24" s="252">
        <f t="shared" si="1"/>
        <v>4639176.1057696473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9589223.3394148219</v>
      </c>
      <c r="T25" s="252"/>
      <c r="U25" s="254">
        <f t="shared" si="4"/>
        <v>231651.50264618467</v>
      </c>
      <c r="V25" s="254">
        <f t="shared" si="5"/>
        <v>151789.69480598977</v>
      </c>
      <c r="W25" s="252">
        <f t="shared" si="6"/>
        <v>5258000</v>
      </c>
      <c r="X25" s="252">
        <f t="shared" si="2"/>
        <v>0</v>
      </c>
      <c r="Y25" s="252">
        <f t="shared" si="1"/>
        <v>4714664.5368669964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9645160.4755614083</v>
      </c>
      <c r="T26" s="252"/>
      <c r="U26" s="254">
        <f t="shared" si="4"/>
        <v>243581.93183490288</v>
      </c>
      <c r="V26" s="254">
        <f t="shared" si="5"/>
        <v>159833.56673965586</v>
      </c>
      <c r="W26" s="252">
        <f t="shared" si="6"/>
        <v>5258000</v>
      </c>
      <c r="X26" s="252">
        <f t="shared" si="2"/>
        <v>0</v>
      </c>
      <c r="Y26" s="252">
        <f t="shared" si="1"/>
        <v>4790575.974135967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9701423.9116688501</v>
      </c>
      <c r="T27" s="252"/>
      <c r="U27" s="254">
        <f t="shared" si="4"/>
        <v>255611.7812668604</v>
      </c>
      <c r="V27" s="254">
        <f t="shared" si="5"/>
        <v>167877.43867332194</v>
      </c>
      <c r="W27" s="252">
        <f t="shared" si="6"/>
        <v>5258000</v>
      </c>
      <c r="X27" s="252">
        <f t="shared" si="2"/>
        <v>0</v>
      </c>
      <c r="Y27" s="252">
        <f t="shared" si="1"/>
        <v>4866913.1316090319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9758015.5511535853</v>
      </c>
      <c r="T28" s="252">
        <f>$V$4</f>
        <v>2000000</v>
      </c>
      <c r="U28" s="254">
        <f t="shared" si="4"/>
        <v>267741.87944408425</v>
      </c>
      <c r="V28" s="254">
        <f t="shared" si="5"/>
        <v>175921.31060698803</v>
      </c>
      <c r="W28" s="252">
        <f t="shared" si="6"/>
        <v>5258000</v>
      </c>
      <c r="X28" s="252">
        <f t="shared" si="2"/>
        <v>2000000</v>
      </c>
      <c r="Y28" s="252">
        <f t="shared" si="1"/>
        <v>6943678.7412046585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11814937.308535315</v>
      </c>
      <c r="T29" s="252"/>
      <c r="U29" s="254">
        <f t="shared" si="4"/>
        <v>279973.06177278492</v>
      </c>
      <c r="V29" s="254">
        <f t="shared" si="5"/>
        <v>183965.18254065412</v>
      </c>
      <c r="W29" s="252">
        <f t="shared" si="6"/>
        <v>7258000</v>
      </c>
      <c r="X29" s="252">
        <f t="shared" si="2"/>
        <v>0</v>
      </c>
      <c r="Y29" s="252">
        <f t="shared" si="1"/>
        <v>5020875.5528487526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11883857.776168438</v>
      </c>
      <c r="T30" s="252"/>
      <c r="U30" s="254">
        <f t="shared" si="4"/>
        <v>292306.17062089144</v>
      </c>
      <c r="V30" s="254">
        <f t="shared" si="5"/>
        <v>192009.0544743202</v>
      </c>
      <c r="W30" s="252">
        <f t="shared" si="6"/>
        <v>7258000</v>
      </c>
      <c r="X30" s="252">
        <f t="shared" si="2"/>
        <v>0</v>
      </c>
      <c r="Y30" s="252">
        <f t="shared" si="1"/>
        <v>5110173.0012636501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11953180.279862754</v>
      </c>
      <c r="T31" s="252"/>
      <c r="U31" s="254">
        <f t="shared" si="4"/>
        <v>304742.05537606555</v>
      </c>
      <c r="V31" s="254">
        <f t="shared" si="5"/>
        <v>200052.92640798629</v>
      </c>
      <c r="W31" s="252">
        <f t="shared" si="6"/>
        <v>7258000</v>
      </c>
      <c r="X31" s="252">
        <f t="shared" si="2"/>
        <v>0</v>
      </c>
      <c r="Y31" s="252">
        <f t="shared" si="1"/>
        <v>5199975.2616468053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26752.461399667238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12022907.164828621</v>
      </c>
      <c r="T32" s="252"/>
      <c r="U32" s="254">
        <f t="shared" si="4"/>
        <v>317281.5725041994</v>
      </c>
      <c r="V32" s="254">
        <f t="shared" si="5"/>
        <v>208096.79834165238</v>
      </c>
      <c r="W32" s="252">
        <f t="shared" si="6"/>
        <v>7258000</v>
      </c>
      <c r="X32" s="252">
        <f t="shared" si="2"/>
        <v>0</v>
      </c>
      <c r="Y32" s="252">
        <f t="shared" si="1"/>
        <v>5290285.5356744733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12093040.789956788</v>
      </c>
      <c r="T33" s="252"/>
      <c r="U33" s="254">
        <f t="shared" si="4"/>
        <v>329925.58560840104</v>
      </c>
      <c r="V33" s="254">
        <f t="shared" si="5"/>
        <v>216140.67027531847</v>
      </c>
      <c r="W33" s="252">
        <f t="shared" si="6"/>
        <v>7258000</v>
      </c>
      <c r="X33" s="252">
        <f t="shared" si="2"/>
        <v>0</v>
      </c>
      <c r="Y33" s="252">
        <f t="shared" si="1"/>
        <v>5381107.0458405074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12163583.527898202</v>
      </c>
      <c r="T34" s="252"/>
      <c r="U34" s="254">
        <f t="shared" si="4"/>
        <v>342674.96548847103</v>
      </c>
      <c r="V34" s="254">
        <f t="shared" si="5"/>
        <v>224184.54220898455</v>
      </c>
      <c r="W34" s="252">
        <f t="shared" si="6"/>
        <v>7258000</v>
      </c>
      <c r="X34" s="252">
        <f t="shared" si="2"/>
        <v>0</v>
      </c>
      <c r="Y34" s="252">
        <f t="shared" si="1"/>
        <v>5472443.0355956573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12234537.765144276</v>
      </c>
      <c r="T35" s="252"/>
      <c r="U35" s="254">
        <f t="shared" si="4"/>
        <v>355530.59020087495</v>
      </c>
      <c r="V35" s="254">
        <f t="shared" si="5"/>
        <v>232228.41414265064</v>
      </c>
      <c r="W35" s="252">
        <f t="shared" si="6"/>
        <v>7258000</v>
      </c>
      <c r="X35" s="252">
        <f t="shared" si="2"/>
        <v>0</v>
      </c>
      <c r="Y35" s="252">
        <f t="shared" si="1"/>
        <v>5564296.7694878019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12305905.902107617</v>
      </c>
      <c r="T36" s="252"/>
      <c r="U36" s="254">
        <f t="shared" si="4"/>
        <v>368493.34511921555</v>
      </c>
      <c r="V36" s="254">
        <f t="shared" si="5"/>
        <v>240272.28607631673</v>
      </c>
      <c r="W36" s="252">
        <f t="shared" si="6"/>
        <v>7258000</v>
      </c>
      <c r="X36" s="252">
        <f t="shared" si="2"/>
        <v>0</v>
      </c>
      <c r="Y36" s="252">
        <f t="shared" si="1"/>
        <v>5656671.533303149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12377690.353203245</v>
      </c>
      <c r="T37" s="252"/>
      <c r="U37" s="254">
        <f t="shared" si="4"/>
        <v>381564.12299520901</v>
      </c>
      <c r="V37" s="254">
        <f t="shared" si="5"/>
        <v>248316.15800998281</v>
      </c>
      <c r="W37" s="252">
        <f t="shared" si="6"/>
        <v>7258000</v>
      </c>
      <c r="X37" s="252">
        <f t="shared" si="2"/>
        <v>0</v>
      </c>
      <c r="Y37" s="252">
        <f t="shared" si="1"/>
        <v>5749570.6342084371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7000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12449893.546930263</v>
      </c>
      <c r="T38" s="252"/>
      <c r="U38" s="254">
        <f t="shared" si="4"/>
        <v>394743.82402016909</v>
      </c>
      <c r="V38" s="254">
        <f t="shared" si="5"/>
        <v>256360.0299436489</v>
      </c>
      <c r="W38" s="252">
        <f t="shared" si="6"/>
        <v>7258000</v>
      </c>
      <c r="X38" s="252">
        <f t="shared" si="2"/>
        <v>0</v>
      </c>
      <c r="Y38" s="252">
        <f t="shared" si="1"/>
        <v>5842997.4008940812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12522517.925954023</v>
      </c>
      <c r="T39" s="252"/>
      <c r="U39" s="254">
        <f t="shared" si="4"/>
        <v>408033.35588700383</v>
      </c>
      <c r="V39" s="254">
        <f t="shared" si="5"/>
        <v>264403.90187731502</v>
      </c>
      <c r="W39" s="252">
        <f t="shared" si="6"/>
        <v>7258000</v>
      </c>
      <c r="X39" s="252">
        <f t="shared" si="2"/>
        <v>0</v>
      </c>
      <c r="Y39" s="252">
        <f t="shared" si="1"/>
        <v>5936955.1837183423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12595565.947188755</v>
      </c>
      <c r="T40" s="252">
        <f>$V$4</f>
        <v>2000000</v>
      </c>
      <c r="U40" s="254">
        <f t="shared" si="4"/>
        <v>421433.63385272882</v>
      </c>
      <c r="V40" s="254">
        <f t="shared" si="5"/>
        <v>272447.77381098113</v>
      </c>
      <c r="W40" s="252">
        <f t="shared" si="6"/>
        <v>7258000</v>
      </c>
      <c r="X40" s="252">
        <f t="shared" si="2"/>
        <v>2000000</v>
      </c>
      <c r="Y40" s="252">
        <f t="shared" si="1"/>
        <v>8031447.3548524659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33000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14669040.081880691</v>
      </c>
      <c r="T41" s="252"/>
      <c r="U41" s="254">
        <f t="shared" si="4"/>
        <v>434945.58080150152</v>
      </c>
      <c r="V41" s="254">
        <f t="shared" si="5"/>
        <v>280491.64574464725</v>
      </c>
      <c r="W41" s="252">
        <f t="shared" si="6"/>
        <v>9258000</v>
      </c>
      <c r="X41" s="252">
        <f t="shared" si="2"/>
        <v>0</v>
      </c>
      <c r="Y41" s="252">
        <f t="shared" si="1"/>
        <v>6126477.3084268402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14754609.482358329</v>
      </c>
      <c r="T42" s="252"/>
      <c r="U42" s="254">
        <f t="shared" si="4"/>
        <v>448570.12730818067</v>
      </c>
      <c r="V42" s="254">
        <f t="shared" si="5"/>
        <v>288535.51767831336</v>
      </c>
      <c r="W42" s="252">
        <f t="shared" si="6"/>
        <v>9258000</v>
      </c>
      <c r="X42" s="252">
        <f t="shared" si="2"/>
        <v>0</v>
      </c>
      <c r="Y42" s="252">
        <f t="shared" si="1"/>
        <v>6233715.1273448225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14840678.037672086</v>
      </c>
      <c r="T43" s="252"/>
      <c r="U43" s="254">
        <f t="shared" si="4"/>
        <v>462308.21170241549</v>
      </c>
      <c r="V43" s="254">
        <f t="shared" si="5"/>
        <v>296579.38961197948</v>
      </c>
      <c r="W43" s="252">
        <f t="shared" si="6"/>
        <v>9258000</v>
      </c>
      <c r="X43" s="252">
        <f t="shared" si="2"/>
        <v>0</v>
      </c>
      <c r="Y43" s="252">
        <f t="shared" si="1"/>
        <v>6341565.6389864814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14927248.659558507</v>
      </c>
      <c r="T44" s="252"/>
      <c r="U44" s="254">
        <f t="shared" si="4"/>
        <v>476160.78013326891</v>
      </c>
      <c r="V44" s="254">
        <f t="shared" si="5"/>
        <v>304623.2615456456</v>
      </c>
      <c r="W44" s="252">
        <f t="shared" si="6"/>
        <v>9258000</v>
      </c>
      <c r="X44" s="252">
        <f t="shared" si="2"/>
        <v>0</v>
      </c>
      <c r="Y44" s="252">
        <f t="shared" si="1"/>
        <v>6450032.7012374215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15014324.276739266</v>
      </c>
      <c r="T45" s="252"/>
      <c r="U45" s="254">
        <f t="shared" si="4"/>
        <v>490128.78663437947</v>
      </c>
      <c r="V45" s="254">
        <f t="shared" si="5"/>
        <v>312667.13347931171</v>
      </c>
      <c r="W45" s="252">
        <f t="shared" si="6"/>
        <v>9258000</v>
      </c>
      <c r="X45" s="252">
        <f t="shared" si="2"/>
        <v>0</v>
      </c>
      <c r="Y45" s="252">
        <f t="shared" si="1"/>
        <v>6559120.1968529578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15101907.835020246</v>
      </c>
      <c r="T46" s="252"/>
      <c r="U46" s="254">
        <f t="shared" si="4"/>
        <v>504213.19318966597</v>
      </c>
      <c r="V46" s="254">
        <f t="shared" si="5"/>
        <v>320711.00541297783</v>
      </c>
      <c r="W46" s="252">
        <f t="shared" si="6"/>
        <v>9258000</v>
      </c>
      <c r="X46" s="252">
        <f t="shared" si="2"/>
        <v>0</v>
      </c>
      <c r="Y46" s="252">
        <f t="shared" si="1"/>
        <v>6668832.0336228888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15190002.297391199</v>
      </c>
      <c r="T47" s="252"/>
      <c r="U47" s="254">
        <f t="shared" si="4"/>
        <v>518414.96979957982</v>
      </c>
      <c r="V47" s="254">
        <f t="shared" si="5"/>
        <v>328754.87734664395</v>
      </c>
      <c r="W47" s="252">
        <f t="shared" si="6"/>
        <v>9258000</v>
      </c>
      <c r="X47" s="252">
        <f t="shared" si="2"/>
        <v>0</v>
      </c>
      <c r="Y47" s="252">
        <f t="shared" si="1"/>
        <v>6779172.1445374228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2600000</v>
      </c>
      <c r="E48" s="433">
        <f t="shared" ref="E48:E53" si="10">M62</f>
        <v>3500000</v>
      </c>
      <c r="F48" s="366"/>
      <c r="G48" s="365" t="s">
        <v>6</v>
      </c>
      <c r="H48" s="201"/>
      <c r="I48" s="434">
        <f>M75</f>
        <v>900000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15278610.644125981</v>
      </c>
      <c r="T48" s="252"/>
      <c r="U48" s="254">
        <f t="shared" si="4"/>
        <v>532735.09454790968</v>
      </c>
      <c r="V48" s="254">
        <f t="shared" si="5"/>
        <v>336798.74928031006</v>
      </c>
      <c r="W48" s="252">
        <f t="shared" si="6"/>
        <v>9258000</v>
      </c>
      <c r="X48" s="252">
        <f t="shared" si="2"/>
        <v>0</v>
      </c>
      <c r="Y48" s="252">
        <f t="shared" si="1"/>
        <v>6890144.4879542012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568000</v>
      </c>
      <c r="E49" s="433">
        <f t="shared" si="10"/>
        <v>1080000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15367735.872883383</v>
      </c>
      <c r="T49" s="252"/>
      <c r="U49" s="254">
        <f t="shared" si="4"/>
        <v>547174.5536691423</v>
      </c>
      <c r="V49" s="254">
        <f t="shared" si="5"/>
        <v>344842.62121397618</v>
      </c>
      <c r="W49" s="252">
        <f t="shared" si="6"/>
        <v>9258000</v>
      </c>
      <c r="X49" s="252">
        <f t="shared" si="2"/>
        <v>0</v>
      </c>
      <c r="Y49" s="252">
        <f t="shared" si="1"/>
        <v>7001753.0477665011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350000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15457380.998808537</v>
      </c>
      <c r="T50" s="252"/>
      <c r="U50" s="254">
        <f t="shared" si="4"/>
        <v>561734.34161638515</v>
      </c>
      <c r="V50" s="254">
        <f t="shared" si="5"/>
        <v>352886.49314764229</v>
      </c>
      <c r="W50" s="252">
        <f t="shared" si="6"/>
        <v>9258000</v>
      </c>
      <c r="X50" s="252">
        <f t="shared" si="2"/>
        <v>0</v>
      </c>
      <c r="Y50" s="252">
        <f t="shared" si="1"/>
        <v>7114001.8335725628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-10000</v>
      </c>
      <c r="E51" s="433">
        <f t="shared" si="10"/>
        <v>770000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15547549.054634919</v>
      </c>
      <c r="T51" s="252"/>
      <c r="U51" s="254">
        <f t="shared" si="4"/>
        <v>576415.46112985502</v>
      </c>
      <c r="V51" s="254">
        <f t="shared" si="5"/>
        <v>360930.36508130841</v>
      </c>
      <c r="W51" s="252">
        <f t="shared" si="6"/>
        <v>9258000</v>
      </c>
      <c r="X51" s="252">
        <f t="shared" si="2"/>
        <v>0</v>
      </c>
      <c r="Y51" s="252">
        <f t="shared" si="1"/>
        <v>7226894.8808460832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6000</v>
      </c>
      <c r="E52" s="433">
        <f t="shared" si="10"/>
        <v>830000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7000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15638243.090786956</v>
      </c>
      <c r="T52" s="252">
        <f>$V$4</f>
        <v>2000000</v>
      </c>
      <c r="U52" s="254">
        <f t="shared" si="4"/>
        <v>591218.92330593709</v>
      </c>
      <c r="V52" s="254">
        <f t="shared" si="5"/>
        <v>368974.23701497453</v>
      </c>
      <c r="W52" s="252">
        <f t="shared" si="6"/>
        <v>9258000</v>
      </c>
      <c r="X52" s="252">
        <f t="shared" si="2"/>
        <v>2000000</v>
      </c>
      <c r="Y52" s="252">
        <f t="shared" si="1"/>
        <v>9340436.2511078678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17729466.175483212</v>
      </c>
      <c r="T53" s="252"/>
      <c r="U53" s="254">
        <f t="shared" si="4"/>
        <v>606145.74766681984</v>
      </c>
      <c r="V53" s="254">
        <f t="shared" si="5"/>
        <v>377018.10894864064</v>
      </c>
      <c r="W53" s="252">
        <f t="shared" si="6"/>
        <v>11258000</v>
      </c>
      <c r="X53" s="252">
        <f t="shared" si="2"/>
        <v>0</v>
      </c>
      <c r="Y53" s="252">
        <f t="shared" si="1"/>
        <v>7454630.0320986733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17832888.061506864</v>
      </c>
      <c r="T54" s="252"/>
      <c r="U54" s="254">
        <f t="shared" si="4"/>
        <v>621196.96223070996</v>
      </c>
      <c r="V54" s="254">
        <f t="shared" si="5"/>
        <v>385061.98088230676</v>
      </c>
      <c r="W54" s="252">
        <f t="shared" si="6"/>
        <v>11258000</v>
      </c>
      <c r="X54" s="252">
        <f t="shared" si="2"/>
        <v>0</v>
      </c>
      <c r="Y54" s="252">
        <f t="shared" si="1"/>
        <v>7581147.0046198778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33000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17936913.241865654</v>
      </c>
      <c r="T55" s="252"/>
      <c r="U55" s="254">
        <f t="shared" si="4"/>
        <v>636373.6035826325</v>
      </c>
      <c r="V55" s="254">
        <f t="shared" si="5"/>
        <v>393105.85281597287</v>
      </c>
      <c r="W55" s="252">
        <f t="shared" si="6"/>
        <v>11258000</v>
      </c>
      <c r="X55" s="252">
        <f t="shared" si="2"/>
        <v>0</v>
      </c>
      <c r="Y55" s="252">
        <f t="shared" si="1"/>
        <v>7708392.6982642598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7220000</v>
      </c>
      <c r="F56" s="366"/>
      <c r="G56" s="441"/>
      <c r="H56" s="420"/>
      <c r="I56" s="442"/>
      <c r="J56" s="18"/>
      <c r="K56" s="205"/>
      <c r="L56" s="212" t="s">
        <v>80</v>
      </c>
      <c r="M56" s="223">
        <v>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18041545.235776536</v>
      </c>
      <c r="T56" s="252"/>
      <c r="U56" s="254">
        <f t="shared" si="4"/>
        <v>651676.71694582107</v>
      </c>
      <c r="V56" s="254">
        <f t="shared" si="5"/>
        <v>401149.72474963899</v>
      </c>
      <c r="W56" s="252">
        <f t="shared" si="6"/>
        <v>11258000</v>
      </c>
      <c r="X56" s="252">
        <f t="shared" si="2"/>
        <v>0</v>
      </c>
      <c r="Y56" s="252">
        <f t="shared" si="1"/>
        <v>7836371.6774719954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6800000</v>
      </c>
      <c r="F57" s="416"/>
      <c r="G57" s="553" t="s">
        <v>59</v>
      </c>
      <c r="H57" s="554"/>
      <c r="I57" s="555">
        <f>SUM(I38:I56)</f>
        <v>3258000</v>
      </c>
      <c r="K57" s="205"/>
      <c r="L57" s="212" t="s">
        <v>336</v>
      </c>
      <c r="M57" s="223"/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18146787.582985234</v>
      </c>
      <c r="T57" s="252"/>
      <c r="U57" s="254">
        <f t="shared" si="4"/>
        <v>667107.35625370289</v>
      </c>
      <c r="V57" s="254">
        <f t="shared" si="5"/>
        <v>409193.59668330511</v>
      </c>
      <c r="W57" s="252">
        <f t="shared" si="6"/>
        <v>11258000</v>
      </c>
      <c r="X57" s="252">
        <f t="shared" si="2"/>
        <v>0</v>
      </c>
      <c r="Y57" s="252">
        <f t="shared" si="1"/>
        <v>7965088.5359222405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18252643.843885981</v>
      </c>
      <c r="T58" s="252"/>
      <c r="U58" s="254">
        <f t="shared" si="4"/>
        <v>682666.58422248368</v>
      </c>
      <c r="V58" s="254">
        <f t="shared" si="5"/>
        <v>417237.46861697122</v>
      </c>
      <c r="W58" s="252">
        <f t="shared" si="6"/>
        <v>11258000</v>
      </c>
      <c r="X58" s="252">
        <f t="shared" si="2"/>
        <v>0</v>
      </c>
      <c r="Y58" s="252">
        <f t="shared" si="1"/>
        <v>8094547.8967254348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18359117.599641982</v>
      </c>
      <c r="T59" s="252"/>
      <c r="U59" s="254">
        <f t="shared" si="4"/>
        <v>698355.47242433764</v>
      </c>
      <c r="V59" s="254">
        <f t="shared" si="5"/>
        <v>425281.34055063734</v>
      </c>
      <c r="W59" s="252">
        <f t="shared" si="6"/>
        <v>11258000</v>
      </c>
      <c r="X59" s="252">
        <f t="shared" si="2"/>
        <v>0</v>
      </c>
      <c r="Y59" s="252">
        <f t="shared" si="1"/>
        <v>8224754.4126169607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18466212.452306561</v>
      </c>
      <c r="T60" s="252"/>
      <c r="U60" s="254">
        <f t="shared" si="4"/>
        <v>714175.10136120708</v>
      </c>
      <c r="V60" s="254">
        <f t="shared" si="5"/>
        <v>433325.21248430345</v>
      </c>
      <c r="W60" s="252">
        <f t="shared" si="6"/>
        <v>11258000</v>
      </c>
      <c r="X60" s="252">
        <f t="shared" si="2"/>
        <v>0</v>
      </c>
      <c r="Y60" s="252">
        <f t="shared" si="1"/>
        <v>8355712.7661520727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18573932.024945017</v>
      </c>
      <c r="T61" s="252"/>
      <c r="U61" s="254">
        <f t="shared" si="4"/>
        <v>730126.56053921708</v>
      </c>
      <c r="V61" s="254">
        <f t="shared" si="5"/>
        <v>441369.08441796957</v>
      </c>
      <c r="W61" s="252">
        <f t="shared" si="6"/>
        <v>11258000</v>
      </c>
      <c r="X61" s="252">
        <f t="shared" si="2"/>
        <v>0</v>
      </c>
      <c r="Y61" s="252">
        <f t="shared" si="1"/>
        <v>8487427.6699022017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3500000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18682279.961757198</v>
      </c>
      <c r="T62" s="252"/>
      <c r="U62" s="254">
        <f t="shared" si="4"/>
        <v>746210.94854371052</v>
      </c>
      <c r="V62" s="254">
        <f t="shared" si="5"/>
        <v>449412.95635163569</v>
      </c>
      <c r="W62" s="252">
        <f t="shared" si="6"/>
        <v>11258000</v>
      </c>
      <c r="X62" s="252">
        <f t="shared" si="2"/>
        <v>0</v>
      </c>
      <c r="Y62" s="252">
        <f t="shared" si="1"/>
        <v>8619903.8666525409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1080000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18791259.928200781</v>
      </c>
      <c r="T63" s="252"/>
      <c r="U63" s="254">
        <f t="shared" si="4"/>
        <v>762429.37311490811</v>
      </c>
      <c r="V63" s="254">
        <f t="shared" si="5"/>
        <v>457456.8282853018</v>
      </c>
      <c r="W63" s="252">
        <f t="shared" si="6"/>
        <v>11258000</v>
      </c>
      <c r="X63" s="252">
        <f t="shared" si="2"/>
        <v>0</v>
      </c>
      <c r="Y63" s="252">
        <f t="shared" si="1"/>
        <v>8753146.1296009906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18900875.611115288</v>
      </c>
      <c r="T64" s="252">
        <f>$V$4</f>
        <v>2000000</v>
      </c>
      <c r="U64" s="254">
        <f t="shared" si="4"/>
        <v>778782.95122419903</v>
      </c>
      <c r="V64" s="254">
        <f t="shared" si="5"/>
        <v>465500.70021896792</v>
      </c>
      <c r="W64" s="252">
        <f t="shared" si="6"/>
        <v>11258000</v>
      </c>
      <c r="X64" s="252">
        <f t="shared" si="2"/>
        <v>2000000</v>
      </c>
      <c r="Y64" s="252">
        <f t="shared" si="1"/>
        <v>10887159.262558457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3542000</v>
      </c>
      <c r="E65" s="200"/>
      <c r="F65" s="201"/>
      <c r="G65" s="202" t="s">
        <v>158</v>
      </c>
      <c r="H65" s="203" t="s">
        <v>114</v>
      </c>
      <c r="I65" s="204">
        <f>I19-I32</f>
        <v>8043.8719336660979</v>
      </c>
      <c r="J65" s="18"/>
      <c r="K65" s="205"/>
      <c r="L65" s="212" t="s">
        <v>214</v>
      </c>
      <c r="M65" s="223">
        <v>770000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21011130.718846794</v>
      </c>
      <c r="T65" s="252"/>
      <c r="U65" s="254">
        <f t="shared" si="4"/>
        <v>795272.80915106728</v>
      </c>
      <c r="V65" s="254">
        <f t="shared" si="5"/>
        <v>473544.57215263403</v>
      </c>
      <c r="W65" s="252">
        <f t="shared" si="6"/>
        <v>13258000</v>
      </c>
      <c r="X65" s="252">
        <f t="shared" si="2"/>
        <v>0</v>
      </c>
      <c r="Y65" s="252">
        <f t="shared" si="1"/>
        <v>9021948.1001504958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830000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21133695.648040067</v>
      </c>
      <c r="T66" s="252"/>
      <c r="U66" s="254">
        <f t="shared" si="4"/>
        <v>811900.0825606595</v>
      </c>
      <c r="V66" s="254">
        <f t="shared" si="5"/>
        <v>481588.44408630015</v>
      </c>
      <c r="W66" s="252">
        <f t="shared" si="6"/>
        <v>13258000</v>
      </c>
      <c r="X66" s="252">
        <f t="shared" si="2"/>
        <v>0</v>
      </c>
      <c r="Y66" s="252">
        <f t="shared" si="1"/>
        <v>9169184.1746870242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3962000</v>
      </c>
      <c r="E67" s="459"/>
      <c r="F67" s="366"/>
      <c r="G67" s="461" t="s">
        <v>113</v>
      </c>
      <c r="H67" s="461" t="s">
        <v>115</v>
      </c>
      <c r="I67" s="462">
        <f>I65*12</f>
        <v>96526.463203993175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942000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6756.8524242795229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3246000</v>
      </c>
      <c r="E72" s="464"/>
      <c r="F72" s="201"/>
      <c r="G72" s="195" t="s">
        <v>1</v>
      </c>
      <c r="H72" s="195" t="s">
        <v>114</v>
      </c>
      <c r="I72" s="196">
        <f>H5</f>
        <v>12796.333333333334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6760000</v>
      </c>
      <c r="E74" s="464"/>
      <c r="F74" s="201"/>
      <c r="G74" s="195" t="s">
        <v>251</v>
      </c>
      <c r="H74" s="195" t="s">
        <v>114</v>
      </c>
      <c r="I74" s="196">
        <f>I32-H5</f>
        <v>13956.128066333904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504910.00000000006</v>
      </c>
      <c r="E75" s="464"/>
      <c r="F75" s="201"/>
      <c r="G75" s="456"/>
      <c r="H75" s="195" t="s">
        <v>115</v>
      </c>
      <c r="I75" s="196">
        <f>I74*12</f>
        <v>167473.53679600684</v>
      </c>
      <c r="K75" s="205"/>
      <c r="L75" s="212" t="s">
        <v>335</v>
      </c>
      <c r="M75" s="223">
        <v>900000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2576515.9507077974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3514000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0.48017751479289938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2162000.0000000005</v>
      </c>
      <c r="E81" s="464"/>
      <c r="F81" s="366"/>
      <c r="G81" s="380"/>
      <c r="H81" s="452"/>
      <c r="I81" s="407"/>
      <c r="K81" s="205"/>
      <c r="L81" s="212"/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</f>
        <v>7000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10810000.000000002</v>
      </c>
      <c r="E83" s="464"/>
      <c r="F83" s="366"/>
      <c r="G83" s="475" t="s">
        <v>163</v>
      </c>
      <c r="H83" s="475"/>
      <c r="I83" s="477">
        <f>SUM(E41:E43)</f>
        <v>33000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40000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-2149753.0265138671</v>
      </c>
      <c r="E87" s="480"/>
      <c r="F87" s="366"/>
      <c r="G87" s="201"/>
      <c r="H87" s="452"/>
      <c r="I87" s="407"/>
      <c r="L87" s="247"/>
      <c r="M87" s="12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2.8661244587237071</v>
      </c>
      <c r="L88" s="119" t="s">
        <v>337</v>
      </c>
      <c r="M88" s="120">
        <f>M75</f>
        <v>900000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0.23884370489364226</v>
      </c>
      <c r="L89" s="119" t="s">
        <v>286</v>
      </c>
      <c r="M89" s="120">
        <f>M63-M77</f>
        <v>568000</v>
      </c>
    </row>
    <row r="90" spans="2:26" ht="45" x14ac:dyDescent="0.45">
      <c r="B90" s="479" t="s">
        <v>117</v>
      </c>
      <c r="C90" s="480"/>
      <c r="D90" s="481">
        <f>PV(8%/12,30*12,H24,0)*-1</f>
        <v>1096246.9734861329</v>
      </c>
      <c r="E90" s="480"/>
      <c r="F90" s="366"/>
      <c r="G90" s="482" t="s">
        <v>161</v>
      </c>
      <c r="H90" s="482"/>
      <c r="I90" s="483">
        <f>H24/(I32-H5)</f>
        <v>0.57636845229803912</v>
      </c>
      <c r="L90" s="119" t="s">
        <v>339</v>
      </c>
      <c r="M90" s="120">
        <v>35000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308</v>
      </c>
      <c r="M91" s="120">
        <f>M64-M78</f>
        <v>350000</v>
      </c>
    </row>
    <row r="92" spans="2:26" ht="35" customHeight="1" x14ac:dyDescent="0.35">
      <c r="D92" s="99"/>
      <c r="E92" s="22"/>
      <c r="L92" s="119" t="s">
        <v>338</v>
      </c>
      <c r="M92" s="120">
        <v>200000</v>
      </c>
    </row>
    <row r="93" spans="2:26" ht="35" customHeight="1" x14ac:dyDescent="0.35">
      <c r="D93" s="99"/>
      <c r="E93" s="98"/>
      <c r="F93" s="99"/>
      <c r="G93" s="99"/>
      <c r="H93" s="99"/>
      <c r="L93" s="119"/>
      <c r="M93" s="120"/>
    </row>
    <row r="94" spans="2:26" ht="35" customHeight="1" x14ac:dyDescent="0.35">
      <c r="D94" s="99"/>
      <c r="E94" s="98"/>
      <c r="F94" s="99"/>
      <c r="G94" s="99"/>
      <c r="H94" s="99"/>
      <c r="L94" s="247"/>
      <c r="M94" s="293">
        <f>M88-M89-M90-M91-M92</f>
        <v>-253000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  <c r="M95" s="248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9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</row>
    <row r="98" spans="2:9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</row>
    <row r="99" spans="2:9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9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7000</v>
      </c>
    </row>
    <row r="101" spans="2:9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33000</v>
      </c>
    </row>
    <row r="102" spans="2:9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914000</v>
      </c>
      <c r="I102" s="270" t="s">
        <v>212</v>
      </c>
    </row>
    <row r="103" spans="2:9" ht="35" x14ac:dyDescent="0.35">
      <c r="B103" s="270"/>
      <c r="C103" s="270"/>
      <c r="D103" s="273"/>
      <c r="E103" s="270"/>
      <c r="F103" s="271"/>
      <c r="G103" s="270"/>
      <c r="H103" s="273"/>
    </row>
    <row r="104" spans="2:9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954000</v>
      </c>
      <c r="I104" s="270">
        <f>H104*0.075</f>
        <v>71550</v>
      </c>
    </row>
    <row r="105" spans="2:9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9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9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9" ht="35" x14ac:dyDescent="0.35">
      <c r="B108" s="270"/>
      <c r="C108" s="270"/>
      <c r="D108" s="273"/>
      <c r="E108" s="270"/>
      <c r="F108" s="271"/>
      <c r="G108" s="271"/>
      <c r="H108" s="271"/>
    </row>
    <row r="109" spans="2:9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9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9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9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37C7-55D5-9143-8CA4-BC85815147B9}">
  <dimension ref="B1:AI137"/>
  <sheetViews>
    <sheetView showGridLines="0" topLeftCell="A14" zoomScale="40" zoomScaleNormal="40" workbookViewId="0">
      <selection activeCell="M55" sqref="M55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51.33203125" style="18" customWidth="1"/>
    <col min="14" max="14" width="14.1640625" style="18" customWidth="1"/>
    <col min="15" max="15" width="37.332031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13151.666666666668</v>
      </c>
      <c r="I5" s="377">
        <f>H5*12</f>
        <v>157820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6980000</v>
      </c>
      <c r="T7" s="252"/>
      <c r="U7" s="252">
        <f>SUM(E41:E43)</f>
        <v>446000</v>
      </c>
      <c r="V7" s="252">
        <f>$E$38</f>
        <v>10000</v>
      </c>
      <c r="W7" s="252">
        <f>$I$57</f>
        <v>3534000</v>
      </c>
      <c r="X7" s="252">
        <f>T7</f>
        <v>0</v>
      </c>
      <c r="Y7" s="252">
        <f t="shared" ref="Y7:Y66" si="1">SUM(S7:V7)-W7</f>
        <v>3902000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7020716.666666667</v>
      </c>
      <c r="T8" s="252"/>
      <c r="U8" s="254">
        <f>($V$2/12+1)*U7+$V$3</f>
        <v>459716.66666666663</v>
      </c>
      <c r="V8" s="254">
        <f>V7+$I$65</f>
        <v>18961.985144740229</v>
      </c>
      <c r="W8" s="252">
        <f>W7+X7</f>
        <v>3534000</v>
      </c>
      <c r="X8" s="252">
        <f t="shared" ref="X8:X66" si="2">T8</f>
        <v>0</v>
      </c>
      <c r="Y8" s="252">
        <f t="shared" si="1"/>
        <v>3965395.3184780739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7061670.8472222229</v>
      </c>
      <c r="T9" s="252"/>
      <c r="U9" s="254">
        <f t="shared" ref="U9:U66" si="4">($V$2/12+1)*U8+$V$3</f>
        <v>473547.63888888882</v>
      </c>
      <c r="V9" s="254">
        <f t="shared" ref="V9:V66" si="5">V8+$I$65</f>
        <v>27923.970289480458</v>
      </c>
      <c r="W9" s="252">
        <f t="shared" ref="W9:W66" si="6">W8+X8</f>
        <v>3534000</v>
      </c>
      <c r="X9" s="252">
        <f t="shared" si="2"/>
        <v>0</v>
      </c>
      <c r="Y9" s="252">
        <f t="shared" si="1"/>
        <v>4029142.4564005928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7102863.9271643525</v>
      </c>
      <c r="T10" s="252"/>
      <c r="U10" s="254">
        <f t="shared" si="4"/>
        <v>487493.86921296286</v>
      </c>
      <c r="V10" s="254">
        <f t="shared" si="5"/>
        <v>36885.955434220683</v>
      </c>
      <c r="W10" s="252">
        <f t="shared" si="6"/>
        <v>3534000</v>
      </c>
      <c r="X10" s="252">
        <f t="shared" si="2"/>
        <v>0</v>
      </c>
      <c r="Y10" s="252">
        <f t="shared" si="1"/>
        <v>4093243.751811536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7144297.3000728115</v>
      </c>
      <c r="T11" s="252"/>
      <c r="U11" s="254">
        <f t="shared" si="4"/>
        <v>501556.31812307087</v>
      </c>
      <c r="V11" s="254">
        <f t="shared" si="5"/>
        <v>45847.940578960915</v>
      </c>
      <c r="W11" s="252">
        <f t="shared" si="6"/>
        <v>3534000</v>
      </c>
      <c r="X11" s="252">
        <f t="shared" si="2"/>
        <v>0</v>
      </c>
      <c r="Y11" s="252">
        <f t="shared" si="1"/>
        <v>4157701.5587748429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7185972.3676565699</v>
      </c>
      <c r="T12" s="252"/>
      <c r="U12" s="254">
        <f t="shared" si="4"/>
        <v>515735.95410742977</v>
      </c>
      <c r="V12" s="254">
        <f t="shared" si="5"/>
        <v>54809.925723701148</v>
      </c>
      <c r="W12" s="252">
        <f t="shared" si="6"/>
        <v>3534000</v>
      </c>
      <c r="X12" s="252">
        <f t="shared" si="2"/>
        <v>0</v>
      </c>
      <c r="Y12" s="252">
        <f t="shared" si="1"/>
        <v>4222518.2474877005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7227890.5398012334</v>
      </c>
      <c r="T13" s="252"/>
      <c r="U13" s="254">
        <f t="shared" si="4"/>
        <v>530033.75372499169</v>
      </c>
      <c r="V13" s="254">
        <f t="shared" si="5"/>
        <v>63771.91086844138</v>
      </c>
      <c r="W13" s="252">
        <f t="shared" si="6"/>
        <v>3534000</v>
      </c>
      <c r="X13" s="252">
        <f t="shared" si="2"/>
        <v>0</v>
      </c>
      <c r="Y13" s="252">
        <f t="shared" si="1"/>
        <v>4287696.2043946665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36400</v>
      </c>
      <c r="D14" s="378">
        <f>M14*52/12</f>
        <v>3033.3333333333335</v>
      </c>
      <c r="E14" s="392">
        <f>SUM(D14-D23)</f>
        <v>-22.993333333333339</v>
      </c>
      <c r="F14" s="391"/>
      <c r="G14" s="544" t="s">
        <v>68</v>
      </c>
      <c r="H14" s="539">
        <f>C14/E49</f>
        <v>3.3703703703703701E-2</v>
      </c>
      <c r="I14" s="542">
        <f>(D14-M29)/E49*12</f>
        <v>2.6956370370370377E-2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7270053.2346167406</v>
      </c>
      <c r="T14" s="252"/>
      <c r="U14" s="254">
        <f t="shared" si="4"/>
        <v>544450.70167269988</v>
      </c>
      <c r="V14" s="254">
        <f t="shared" si="5"/>
        <v>72733.896013181613</v>
      </c>
      <c r="W14" s="252">
        <f t="shared" si="6"/>
        <v>3534000</v>
      </c>
      <c r="X14" s="252">
        <f t="shared" si="2"/>
        <v>0</v>
      </c>
      <c r="Y14" s="252">
        <f t="shared" si="1"/>
        <v>4353237.8323026225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39260</v>
      </c>
      <c r="D15" s="378">
        <f>M15*52/12</f>
        <v>3271.6666666666665</v>
      </c>
      <c r="E15" s="392">
        <f>SUM(D15-D24)</f>
        <v>1334.833333333333</v>
      </c>
      <c r="F15" s="391"/>
      <c r="G15" s="544" t="s">
        <v>69</v>
      </c>
      <c r="H15" s="539">
        <f>C15/E50</f>
        <v>6.7689655172413793E-2</v>
      </c>
      <c r="I15" s="542">
        <f>(D15-M30)/E50*12</f>
        <v>5.037931034482758E-2</v>
      </c>
      <c r="K15" s="205"/>
      <c r="L15" s="212" t="s">
        <v>221</v>
      </c>
      <c r="M15" s="223">
        <v>755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7312461.8784853388</v>
      </c>
      <c r="T15" s="252"/>
      <c r="U15" s="254">
        <f t="shared" si="4"/>
        <v>558987.79085330572</v>
      </c>
      <c r="V15" s="254">
        <f t="shared" si="5"/>
        <v>81695.881157921845</v>
      </c>
      <c r="W15" s="252">
        <f t="shared" si="6"/>
        <v>3534000</v>
      </c>
      <c r="X15" s="252">
        <f t="shared" si="2"/>
        <v>0</v>
      </c>
      <c r="Y15" s="252">
        <f t="shared" si="1"/>
        <v>4419145.5504965661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4.8050632911392402E-2</v>
      </c>
      <c r="I16" s="542">
        <f>(D16-M31)/E51*12</f>
        <v>3.5551291139240507E-2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7355117.9061098369</v>
      </c>
      <c r="T16" s="252"/>
      <c r="U16" s="254">
        <f t="shared" si="4"/>
        <v>573646.02244374994</v>
      </c>
      <c r="V16" s="254">
        <f t="shared" si="5"/>
        <v>90657.866302662078</v>
      </c>
      <c r="W16" s="252">
        <f t="shared" si="6"/>
        <v>3534000</v>
      </c>
      <c r="X16" s="252">
        <f t="shared" si="2"/>
        <v>0</v>
      </c>
      <c r="Y16" s="252">
        <f t="shared" si="1"/>
        <v>4485421.7948562494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5.1395348837209302E-2</v>
      </c>
      <c r="I17" s="542">
        <f>(D17-M32)/E52*12</f>
        <v>3.9381302325581395E-2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7398022.7605621442</v>
      </c>
      <c r="T17" s="252">
        <f>$V$4</f>
        <v>2000000</v>
      </c>
      <c r="U17" s="254">
        <f t="shared" si="4"/>
        <v>588426.40596411447</v>
      </c>
      <c r="V17" s="254">
        <f t="shared" si="5"/>
        <v>99619.85144740231</v>
      </c>
      <c r="W17" s="252">
        <f t="shared" si="6"/>
        <v>3534000</v>
      </c>
      <c r="X17" s="252">
        <f t="shared" si="2"/>
        <v>2000000</v>
      </c>
      <c r="Y17" s="252">
        <f t="shared" si="1"/>
        <v>6552069.0179736596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9441177.8933320902</v>
      </c>
      <c r="T18" s="252"/>
      <c r="U18" s="254">
        <f t="shared" si="4"/>
        <v>603329.95934714878</v>
      </c>
      <c r="V18" s="254">
        <f t="shared" si="5"/>
        <v>108581.83659214254</v>
      </c>
      <c r="W18" s="252">
        <f t="shared" si="6"/>
        <v>5534000</v>
      </c>
      <c r="X18" s="252">
        <f t="shared" si="2"/>
        <v>0</v>
      </c>
      <c r="Y18" s="252">
        <f t="shared" si="1"/>
        <v>4619089.689271383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12267.199999999997</v>
      </c>
      <c r="D19" s="535">
        <f>C19/12</f>
        <v>1022.2666666666664</v>
      </c>
      <c r="E19" s="534">
        <f>SUM(E14:E18)</f>
        <v>-1197.8399999999997</v>
      </c>
      <c r="F19" s="391"/>
      <c r="G19" s="547" t="s">
        <v>56</v>
      </c>
      <c r="H19" s="548" t="s">
        <v>57</v>
      </c>
      <c r="I19" s="549">
        <f>SUM(D6:D18)</f>
        <v>35151.666666666664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9496251.4310431946</v>
      </c>
      <c r="T19" s="252"/>
      <c r="U19" s="254">
        <f t="shared" si="4"/>
        <v>618357.70900837495</v>
      </c>
      <c r="V19" s="254">
        <f t="shared" si="5"/>
        <v>117543.82173688278</v>
      </c>
      <c r="W19" s="252">
        <f t="shared" si="6"/>
        <v>5534000</v>
      </c>
      <c r="X19" s="252">
        <f t="shared" si="2"/>
        <v>0</v>
      </c>
      <c r="Y19" s="252">
        <f t="shared" si="1"/>
        <v>4698152.9617884532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9551646.2310576141</v>
      </c>
      <c r="T20" s="252"/>
      <c r="U20" s="254">
        <f t="shared" si="4"/>
        <v>633510.68991677801</v>
      </c>
      <c r="V20" s="254">
        <f t="shared" si="5"/>
        <v>126505.80688162301</v>
      </c>
      <c r="W20" s="252">
        <f t="shared" si="6"/>
        <v>5534000</v>
      </c>
      <c r="X20" s="252">
        <f t="shared" si="2"/>
        <v>0</v>
      </c>
      <c r="Y20" s="252">
        <f t="shared" si="1"/>
        <v>4777662.7278560158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9607364.1674054507</v>
      </c>
      <c r="T21" s="252"/>
      <c r="U21" s="254">
        <f t="shared" si="4"/>
        <v>648789.94566608442</v>
      </c>
      <c r="V21" s="254">
        <f t="shared" si="5"/>
        <v>135467.79202636323</v>
      </c>
      <c r="W21" s="252">
        <f t="shared" si="6"/>
        <v>5534000</v>
      </c>
      <c r="X21" s="252">
        <f t="shared" si="2"/>
        <v>0</v>
      </c>
      <c r="Y21" s="252">
        <f t="shared" si="1"/>
        <v>4857621.9050978981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54026.868263117198</v>
      </c>
      <c r="D22" s="409">
        <f>PMT(M22/12,30*12,-(M75-M57))</f>
        <v>4502.2390219264335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9663407.1250486486</v>
      </c>
      <c r="T22" s="252"/>
      <c r="U22" s="254">
        <f t="shared" si="4"/>
        <v>664196.52854663506</v>
      </c>
      <c r="V22" s="254">
        <f t="shared" si="5"/>
        <v>144429.77717110346</v>
      </c>
      <c r="W22" s="252">
        <f t="shared" si="6"/>
        <v>5534000</v>
      </c>
      <c r="X22" s="252">
        <f t="shared" si="2"/>
        <v>0</v>
      </c>
      <c r="Y22" s="252">
        <f t="shared" si="1"/>
        <v>4938033.4307663869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9719776.9999447651</v>
      </c>
      <c r="T23" s="252"/>
      <c r="U23" s="254">
        <f t="shared" si="4"/>
        <v>679731.49961785704</v>
      </c>
      <c r="V23" s="254">
        <f t="shared" si="5"/>
        <v>153391.76231584369</v>
      </c>
      <c r="W23" s="252">
        <f t="shared" si="6"/>
        <v>5534000</v>
      </c>
      <c r="X23" s="252">
        <f t="shared" si="2"/>
        <v>0</v>
      </c>
      <c r="Y23" s="252">
        <f t="shared" si="1"/>
        <v>5018900.2618784662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8961.9851447402289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9776475.6991111096</v>
      </c>
      <c r="T24" s="252"/>
      <c r="U24" s="254">
        <f t="shared" si="4"/>
        <v>695395.9287813392</v>
      </c>
      <c r="V24" s="254">
        <f t="shared" si="5"/>
        <v>162353.74746058392</v>
      </c>
      <c r="W24" s="252">
        <f t="shared" si="6"/>
        <v>5534000</v>
      </c>
      <c r="X24" s="252">
        <f t="shared" si="2"/>
        <v>0</v>
      </c>
      <c r="Y24" s="252">
        <f t="shared" si="1"/>
        <v>5100225.3753530327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9833505.1406892575</v>
      </c>
      <c r="T25" s="252"/>
      <c r="U25" s="254">
        <f t="shared" si="4"/>
        <v>711190.89485451696</v>
      </c>
      <c r="V25" s="254">
        <f t="shared" si="5"/>
        <v>171315.73260532416</v>
      </c>
      <c r="W25" s="252">
        <f t="shared" si="6"/>
        <v>5534000</v>
      </c>
      <c r="X25" s="252">
        <f t="shared" si="2"/>
        <v>0</v>
      </c>
      <c r="Y25" s="252">
        <f t="shared" si="1"/>
        <v>5182011.7681491002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9890867.2540099453</v>
      </c>
      <c r="T26" s="252"/>
      <c r="U26" s="254">
        <f t="shared" si="4"/>
        <v>727117.48564497125</v>
      </c>
      <c r="V26" s="254">
        <f t="shared" si="5"/>
        <v>180277.71775006439</v>
      </c>
      <c r="W26" s="252">
        <f t="shared" si="6"/>
        <v>5534000</v>
      </c>
      <c r="X26" s="252">
        <f t="shared" si="2"/>
        <v>0</v>
      </c>
      <c r="Y26" s="252">
        <f t="shared" si="1"/>
        <v>5264262.4574049823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9948563.9796583373</v>
      </c>
      <c r="T27" s="252"/>
      <c r="U27" s="254">
        <f t="shared" si="4"/>
        <v>743176.79802534601</v>
      </c>
      <c r="V27" s="254">
        <f t="shared" si="5"/>
        <v>189239.70289480462</v>
      </c>
      <c r="W27" s="252">
        <f t="shared" si="6"/>
        <v>5534000</v>
      </c>
      <c r="X27" s="252">
        <f t="shared" si="2"/>
        <v>0</v>
      </c>
      <c r="Y27" s="252">
        <f t="shared" si="1"/>
        <v>5346980.4805784877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10006597.269539678</v>
      </c>
      <c r="T28" s="252">
        <f>$V$4</f>
        <v>2000000</v>
      </c>
      <c r="U28" s="254">
        <f t="shared" si="4"/>
        <v>759369.93800889049</v>
      </c>
      <c r="V28" s="254">
        <f t="shared" si="5"/>
        <v>198201.68803954485</v>
      </c>
      <c r="W28" s="252">
        <f t="shared" si="6"/>
        <v>5534000</v>
      </c>
      <c r="X28" s="252">
        <f t="shared" si="2"/>
        <v>2000000</v>
      </c>
      <c r="Y28" s="252">
        <f t="shared" si="1"/>
        <v>7430168.8955881149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12064969.086945327</v>
      </c>
      <c r="T29" s="252"/>
      <c r="U29" s="254">
        <f t="shared" si="4"/>
        <v>775698.02082563122</v>
      </c>
      <c r="V29" s="254">
        <f t="shared" si="5"/>
        <v>207163.67318428509</v>
      </c>
      <c r="W29" s="252">
        <f t="shared" si="6"/>
        <v>7534000</v>
      </c>
      <c r="X29" s="252">
        <f t="shared" si="2"/>
        <v>0</v>
      </c>
      <c r="Y29" s="252">
        <f t="shared" si="1"/>
        <v>5513830.7809552439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12135348.073285842</v>
      </c>
      <c r="T30" s="252"/>
      <c r="U30" s="254">
        <f t="shared" si="4"/>
        <v>792162.17099917808</v>
      </c>
      <c r="V30" s="254">
        <f t="shared" si="5"/>
        <v>216125.65832902532</v>
      </c>
      <c r="W30" s="252">
        <f t="shared" si="6"/>
        <v>7534000</v>
      </c>
      <c r="X30" s="252">
        <f t="shared" si="2"/>
        <v>0</v>
      </c>
      <c r="Y30" s="252">
        <f t="shared" si="1"/>
        <v>5609635.9026140459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12206137.603713343</v>
      </c>
      <c r="T31" s="252"/>
      <c r="U31" s="254">
        <f t="shared" si="4"/>
        <v>808763.52242417121</v>
      </c>
      <c r="V31" s="254">
        <f t="shared" si="5"/>
        <v>225087.64347376555</v>
      </c>
      <c r="W31" s="252">
        <f t="shared" si="6"/>
        <v>7534000</v>
      </c>
      <c r="X31" s="252">
        <f t="shared" si="2"/>
        <v>0</v>
      </c>
      <c r="Y31" s="252">
        <f t="shared" si="1"/>
        <v>5705988.7696112785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26189.681521926435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12277340.073068338</v>
      </c>
      <c r="T32" s="252"/>
      <c r="U32" s="254">
        <f t="shared" si="4"/>
        <v>825503.21844437264</v>
      </c>
      <c r="V32" s="254">
        <f t="shared" si="5"/>
        <v>234049.62861850578</v>
      </c>
      <c r="W32" s="252">
        <f t="shared" si="6"/>
        <v>7534000</v>
      </c>
      <c r="X32" s="252">
        <f t="shared" si="2"/>
        <v>0</v>
      </c>
      <c r="Y32" s="252">
        <f t="shared" si="1"/>
        <v>5802892.9201312177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12348957.890161237</v>
      </c>
      <c r="T33" s="252"/>
      <c r="U33" s="254">
        <f t="shared" si="4"/>
        <v>842382.41193140903</v>
      </c>
      <c r="V33" s="254">
        <f t="shared" si="5"/>
        <v>243011.61376324602</v>
      </c>
      <c r="W33" s="252">
        <f t="shared" si="6"/>
        <v>7534000</v>
      </c>
      <c r="X33" s="252">
        <f t="shared" si="2"/>
        <v>0</v>
      </c>
      <c r="Y33" s="252">
        <f t="shared" si="1"/>
        <v>5900351.915855892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12420993.477853844</v>
      </c>
      <c r="T34" s="252"/>
      <c r="U34" s="254">
        <f t="shared" si="4"/>
        <v>859402.26536417077</v>
      </c>
      <c r="V34" s="254">
        <f t="shared" si="5"/>
        <v>251973.59890798625</v>
      </c>
      <c r="W34" s="252">
        <f t="shared" si="6"/>
        <v>7534000</v>
      </c>
      <c r="X34" s="252">
        <f t="shared" si="2"/>
        <v>0</v>
      </c>
      <c r="Y34" s="252">
        <f t="shared" si="1"/>
        <v>5998369.3421260007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12493449.273141325</v>
      </c>
      <c r="T35" s="252"/>
      <c r="U35" s="254">
        <f t="shared" si="4"/>
        <v>876563.95090887218</v>
      </c>
      <c r="V35" s="254">
        <f t="shared" si="5"/>
        <v>260935.58405272648</v>
      </c>
      <c r="W35" s="252">
        <f t="shared" si="6"/>
        <v>7534000</v>
      </c>
      <c r="X35" s="252">
        <f t="shared" si="2"/>
        <v>0</v>
      </c>
      <c r="Y35" s="252">
        <f t="shared" si="1"/>
        <v>6096948.8081029225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12566327.727234649</v>
      </c>
      <c r="T36" s="252"/>
      <c r="U36" s="254">
        <f t="shared" si="4"/>
        <v>893868.65049977938</v>
      </c>
      <c r="V36" s="254">
        <f t="shared" si="5"/>
        <v>269897.56919746671</v>
      </c>
      <c r="W36" s="252">
        <f t="shared" si="6"/>
        <v>7534000</v>
      </c>
      <c r="X36" s="252">
        <f t="shared" si="2"/>
        <v>0</v>
      </c>
      <c r="Y36" s="252">
        <f t="shared" si="1"/>
        <v>6196093.9469318949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12639631.305643518</v>
      </c>
      <c r="T37" s="252"/>
      <c r="U37" s="254">
        <f t="shared" si="4"/>
        <v>911317.5559206109</v>
      </c>
      <c r="V37" s="254">
        <f t="shared" si="5"/>
        <v>278859.55434220692</v>
      </c>
      <c r="W37" s="252">
        <f t="shared" si="6"/>
        <v>7534000</v>
      </c>
      <c r="X37" s="252">
        <f t="shared" si="2"/>
        <v>0</v>
      </c>
      <c r="Y37" s="252">
        <f t="shared" si="1"/>
        <v>6295808.4159063343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12713362.488259772</v>
      </c>
      <c r="T38" s="252"/>
      <c r="U38" s="254">
        <f t="shared" si="4"/>
        <v>928911.86888661596</v>
      </c>
      <c r="V38" s="254">
        <f t="shared" si="5"/>
        <v>287821.53948694712</v>
      </c>
      <c r="W38" s="252">
        <f t="shared" si="6"/>
        <v>7534000</v>
      </c>
      <c r="X38" s="252">
        <f t="shared" si="2"/>
        <v>0</v>
      </c>
      <c r="Y38" s="252">
        <f t="shared" si="1"/>
        <v>6396095.8966333345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12787523.769441288</v>
      </c>
      <c r="T39" s="252"/>
      <c r="U39" s="254">
        <f t="shared" si="4"/>
        <v>946652.80112733773</v>
      </c>
      <c r="V39" s="254">
        <f t="shared" si="5"/>
        <v>296783.52463168732</v>
      </c>
      <c r="W39" s="252">
        <f t="shared" si="6"/>
        <v>7534000</v>
      </c>
      <c r="X39" s="252">
        <f t="shared" si="2"/>
        <v>0</v>
      </c>
      <c r="Y39" s="252">
        <f t="shared" si="1"/>
        <v>6496960.0952003114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12862117.658096362</v>
      </c>
      <c r="T40" s="252">
        <f>$V$4</f>
        <v>2000000</v>
      </c>
      <c r="U40" s="254">
        <f t="shared" si="4"/>
        <v>964541.57447006553</v>
      </c>
      <c r="V40" s="254">
        <f t="shared" si="5"/>
        <v>305745.50977642753</v>
      </c>
      <c r="W40" s="252">
        <f t="shared" si="6"/>
        <v>7534000</v>
      </c>
      <c r="X40" s="252">
        <f t="shared" si="2"/>
        <v>2000000</v>
      </c>
      <c r="Y40" s="252">
        <f t="shared" si="1"/>
        <v>8598404.7423428558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70000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14937146.677768592</v>
      </c>
      <c r="T41" s="252"/>
      <c r="U41" s="254">
        <f t="shared" si="4"/>
        <v>982579.42092398275</v>
      </c>
      <c r="V41" s="254">
        <f t="shared" si="5"/>
        <v>314707.49492116773</v>
      </c>
      <c r="W41" s="252">
        <f t="shared" si="6"/>
        <v>9534000</v>
      </c>
      <c r="X41" s="252">
        <f t="shared" si="2"/>
        <v>0</v>
      </c>
      <c r="Y41" s="252">
        <f t="shared" si="1"/>
        <v>6700433.5936137419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15024280.033388909</v>
      </c>
      <c r="T42" s="252"/>
      <c r="U42" s="254">
        <f t="shared" si="4"/>
        <v>1000767.5827650159</v>
      </c>
      <c r="V42" s="254">
        <f t="shared" si="5"/>
        <v>323669.48006590793</v>
      </c>
      <c r="W42" s="252">
        <f t="shared" si="6"/>
        <v>9534000</v>
      </c>
      <c r="X42" s="252">
        <f t="shared" si="2"/>
        <v>0</v>
      </c>
      <c r="Y42" s="252">
        <f t="shared" si="1"/>
        <v>6814717.0962198339</v>
      </c>
      <c r="Z42" s="255"/>
      <c r="AA42" s="255"/>
      <c r="AB42" s="255"/>
      <c r="AC42" s="255"/>
    </row>
    <row r="43" spans="2:29" ht="45" x14ac:dyDescent="0.45">
      <c r="B43" s="406" t="str">
        <f>L57</f>
        <v>Mortgage Redraw</v>
      </c>
      <c r="C43" s="201"/>
      <c r="D43" s="366"/>
      <c r="E43" s="433">
        <f>M57</f>
        <v>376000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15111921.666917011</v>
      </c>
      <c r="T43" s="252"/>
      <c r="U43" s="254">
        <f t="shared" si="4"/>
        <v>1019107.312621391</v>
      </c>
      <c r="V43" s="254">
        <f t="shared" si="5"/>
        <v>332631.46521064814</v>
      </c>
      <c r="W43" s="252">
        <f t="shared" si="6"/>
        <v>9534000</v>
      </c>
      <c r="X43" s="252">
        <f t="shared" si="2"/>
        <v>0</v>
      </c>
      <c r="Y43" s="252">
        <f t="shared" si="1"/>
        <v>6929660.4447490498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15200074.54330736</v>
      </c>
      <c r="T44" s="252"/>
      <c r="U44" s="254">
        <f t="shared" si="4"/>
        <v>1037599.8735599025</v>
      </c>
      <c r="V44" s="254">
        <f t="shared" si="5"/>
        <v>341593.45035538834</v>
      </c>
      <c r="W44" s="252">
        <f t="shared" si="6"/>
        <v>9534000</v>
      </c>
      <c r="X44" s="252">
        <f t="shared" si="2"/>
        <v>0</v>
      </c>
      <c r="Y44" s="252">
        <f t="shared" si="1"/>
        <v>7045267.8672226518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15288741.644809987</v>
      </c>
      <c r="T45" s="252"/>
      <c r="U45" s="254">
        <f t="shared" si="4"/>
        <v>1056246.5391729018</v>
      </c>
      <c r="V45" s="254">
        <f t="shared" si="5"/>
        <v>350555.43550012854</v>
      </c>
      <c r="W45" s="252">
        <f t="shared" si="6"/>
        <v>9534000</v>
      </c>
      <c r="X45" s="252">
        <f t="shared" si="2"/>
        <v>0</v>
      </c>
      <c r="Y45" s="252">
        <f t="shared" si="1"/>
        <v>7161543.6194830183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15377925.971071379</v>
      </c>
      <c r="T46" s="252"/>
      <c r="U46" s="254">
        <f t="shared" si="4"/>
        <v>1075048.5936660091</v>
      </c>
      <c r="V46" s="254">
        <f t="shared" si="5"/>
        <v>359517.42064486875</v>
      </c>
      <c r="W46" s="252">
        <f t="shared" si="6"/>
        <v>9534000</v>
      </c>
      <c r="X46" s="252">
        <f t="shared" si="2"/>
        <v>0</v>
      </c>
      <c r="Y46" s="252">
        <f t="shared" si="1"/>
        <v>7278491.9853822589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15467630.539235963</v>
      </c>
      <c r="T47" s="252"/>
      <c r="U47" s="254">
        <f t="shared" si="4"/>
        <v>1094007.3319465593</v>
      </c>
      <c r="V47" s="254">
        <f t="shared" si="5"/>
        <v>368479.40578960895</v>
      </c>
      <c r="W47" s="252">
        <f t="shared" si="6"/>
        <v>9534000</v>
      </c>
      <c r="X47" s="252">
        <f t="shared" si="2"/>
        <v>0</v>
      </c>
      <c r="Y47" s="252">
        <f t="shared" si="1"/>
        <v>7396117.2769721299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2494000</v>
      </c>
      <c r="E48" s="433">
        <f t="shared" ref="E48:E53" si="10">M62</f>
        <v>3670000</v>
      </c>
      <c r="F48" s="366"/>
      <c r="G48" s="365" t="s">
        <v>6</v>
      </c>
      <c r="H48" s="201"/>
      <c r="I48" s="434">
        <f>M75</f>
        <v>1176000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15557858.384048173</v>
      </c>
      <c r="T48" s="252"/>
      <c r="U48" s="254">
        <f t="shared" si="4"/>
        <v>1113124.0597127806</v>
      </c>
      <c r="V48" s="254">
        <f t="shared" si="5"/>
        <v>377441.39093434915</v>
      </c>
      <c r="W48" s="252">
        <f t="shared" si="6"/>
        <v>9534000</v>
      </c>
      <c r="X48" s="252">
        <f t="shared" si="2"/>
        <v>0</v>
      </c>
      <c r="Y48" s="252">
        <f t="shared" si="1"/>
        <v>7514423.8346953019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568000</v>
      </c>
      <c r="E49" s="433">
        <f t="shared" si="10"/>
        <v>1080000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15648612.557955122</v>
      </c>
      <c r="T49" s="252"/>
      <c r="U49" s="254">
        <f t="shared" si="4"/>
        <v>1132400.0935437204</v>
      </c>
      <c r="V49" s="254">
        <f t="shared" si="5"/>
        <v>386403.37607908936</v>
      </c>
      <c r="W49" s="252">
        <f t="shared" si="6"/>
        <v>9534000</v>
      </c>
      <c r="X49" s="252">
        <f t="shared" si="2"/>
        <v>0</v>
      </c>
      <c r="Y49" s="252">
        <f t="shared" si="1"/>
        <v>7633416.0275779329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350000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15739896.13120986</v>
      </c>
      <c r="T50" s="252"/>
      <c r="U50" s="254">
        <f t="shared" si="4"/>
        <v>1151836.7609899181</v>
      </c>
      <c r="V50" s="254">
        <f t="shared" si="5"/>
        <v>395365.36122382956</v>
      </c>
      <c r="W50" s="252">
        <f t="shared" si="6"/>
        <v>9534000</v>
      </c>
      <c r="X50" s="252">
        <f t="shared" si="2"/>
        <v>0</v>
      </c>
      <c r="Y50" s="252">
        <f t="shared" si="1"/>
        <v>7753098.2534236051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10000</v>
      </c>
      <c r="E51" s="433">
        <f t="shared" si="10"/>
        <v>790000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15831712.191975251</v>
      </c>
      <c r="T51" s="252"/>
      <c r="U51" s="254">
        <f t="shared" si="4"/>
        <v>1171435.4006648341</v>
      </c>
      <c r="V51" s="254">
        <f t="shared" si="5"/>
        <v>404327.34636856976</v>
      </c>
      <c r="W51" s="252">
        <f t="shared" si="6"/>
        <v>9534000</v>
      </c>
      <c r="X51" s="252">
        <f t="shared" si="2"/>
        <v>0</v>
      </c>
      <c r="Y51" s="252">
        <f t="shared" si="1"/>
        <v>7873474.9390086532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36000</v>
      </c>
      <c r="E52" s="433">
        <f t="shared" si="10"/>
        <v>860000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15924063.846428441</v>
      </c>
      <c r="T52" s="252">
        <f>$V$4</f>
        <v>2000000</v>
      </c>
      <c r="U52" s="254">
        <f t="shared" si="4"/>
        <v>1191197.3623370409</v>
      </c>
      <c r="V52" s="254">
        <f t="shared" si="5"/>
        <v>413289.33151330997</v>
      </c>
      <c r="W52" s="252">
        <f t="shared" si="6"/>
        <v>9534000</v>
      </c>
      <c r="X52" s="252">
        <f t="shared" si="2"/>
        <v>2000000</v>
      </c>
      <c r="Y52" s="252">
        <f t="shared" si="1"/>
        <v>9994550.5402787924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18016954.218865938</v>
      </c>
      <c r="T53" s="252"/>
      <c r="U53" s="254">
        <f t="shared" si="4"/>
        <v>1211124.0070231829</v>
      </c>
      <c r="V53" s="254">
        <f t="shared" si="5"/>
        <v>422251.31665805017</v>
      </c>
      <c r="W53" s="252">
        <f t="shared" si="6"/>
        <v>11534000</v>
      </c>
      <c r="X53" s="252">
        <f t="shared" si="2"/>
        <v>0</v>
      </c>
      <c r="Y53" s="252">
        <f t="shared" si="1"/>
        <v>8116329.5425471701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18122053.118475989</v>
      </c>
      <c r="T54" s="252"/>
      <c r="U54" s="254">
        <f t="shared" si="4"/>
        <v>1231216.7070817095</v>
      </c>
      <c r="V54" s="254">
        <f t="shared" si="5"/>
        <v>431213.30180279037</v>
      </c>
      <c r="W54" s="252">
        <f t="shared" si="6"/>
        <v>11534000</v>
      </c>
      <c r="X54" s="252">
        <f t="shared" si="2"/>
        <v>0</v>
      </c>
      <c r="Y54" s="252">
        <f t="shared" si="1"/>
        <v>8250483.1273604892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70000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18227765.095000431</v>
      </c>
      <c r="T55" s="252"/>
      <c r="U55" s="254">
        <f t="shared" si="4"/>
        <v>1251476.8463073904</v>
      </c>
      <c r="V55" s="254">
        <f t="shared" si="5"/>
        <v>440175.28694753058</v>
      </c>
      <c r="W55" s="252">
        <f t="shared" si="6"/>
        <v>11534000</v>
      </c>
      <c r="X55" s="252">
        <f t="shared" si="2"/>
        <v>0</v>
      </c>
      <c r="Y55" s="252">
        <f t="shared" si="1"/>
        <v>8385417.2282553501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7856000</v>
      </c>
      <c r="F56" s="366"/>
      <c r="G56" s="441"/>
      <c r="H56" s="420"/>
      <c r="I56" s="442"/>
      <c r="J56" s="18"/>
      <c r="K56" s="205"/>
      <c r="L56" s="212" t="s">
        <v>80</v>
      </c>
      <c r="M56" s="223">
        <v>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18334093.724721268</v>
      </c>
      <c r="T56" s="252"/>
      <c r="U56" s="254">
        <f t="shared" si="4"/>
        <v>1271905.8200266187</v>
      </c>
      <c r="V56" s="254">
        <f t="shared" si="5"/>
        <v>449137.27209227078</v>
      </c>
      <c r="W56" s="252">
        <f t="shared" si="6"/>
        <v>11534000</v>
      </c>
      <c r="X56" s="252">
        <f t="shared" si="2"/>
        <v>0</v>
      </c>
      <c r="Y56" s="252">
        <f t="shared" si="1"/>
        <v>8521136.8168401569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7436000</v>
      </c>
      <c r="F57" s="416"/>
      <c r="G57" s="553" t="s">
        <v>59</v>
      </c>
      <c r="H57" s="554"/>
      <c r="I57" s="555">
        <f>SUM(I38:I56)</f>
        <v>3534000</v>
      </c>
      <c r="K57" s="205"/>
      <c r="L57" s="212" t="s">
        <v>341</v>
      </c>
      <c r="M57" s="223">
        <v>376000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18441042.604782142</v>
      </c>
      <c r="T57" s="252"/>
      <c r="U57" s="254">
        <f t="shared" si="4"/>
        <v>1292505.0351935071</v>
      </c>
      <c r="V57" s="254">
        <f t="shared" si="5"/>
        <v>458099.25723701098</v>
      </c>
      <c r="W57" s="252">
        <f t="shared" si="6"/>
        <v>11534000</v>
      </c>
      <c r="X57" s="252">
        <f t="shared" si="2"/>
        <v>0</v>
      </c>
      <c r="Y57" s="252">
        <f t="shared" si="1"/>
        <v>8657646.8972126581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18548615.353310037</v>
      </c>
      <c r="T58" s="252"/>
      <c r="U58" s="254">
        <f t="shared" si="4"/>
        <v>1313275.9104867864</v>
      </c>
      <c r="V58" s="254">
        <f t="shared" si="5"/>
        <v>467061.24238175119</v>
      </c>
      <c r="W58" s="252">
        <f t="shared" si="6"/>
        <v>11534000</v>
      </c>
      <c r="X58" s="252">
        <f t="shared" si="2"/>
        <v>0</v>
      </c>
      <c r="Y58" s="252">
        <f t="shared" si="1"/>
        <v>8794952.5061785765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18656815.60953768</v>
      </c>
      <c r="T59" s="252"/>
      <c r="U59" s="254">
        <f t="shared" si="4"/>
        <v>1334219.8764075097</v>
      </c>
      <c r="V59" s="254">
        <f t="shared" si="5"/>
        <v>476023.22752649139</v>
      </c>
      <c r="W59" s="252">
        <f t="shared" si="6"/>
        <v>11534000</v>
      </c>
      <c r="X59" s="252">
        <f t="shared" si="2"/>
        <v>0</v>
      </c>
      <c r="Y59" s="252">
        <f t="shared" si="1"/>
        <v>8933058.7134716772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18765647.033926651</v>
      </c>
      <c r="T60" s="252"/>
      <c r="U60" s="254">
        <f t="shared" si="4"/>
        <v>1355338.3753775721</v>
      </c>
      <c r="V60" s="254">
        <f t="shared" si="5"/>
        <v>484985.21267123159</v>
      </c>
      <c r="W60" s="252">
        <f t="shared" si="6"/>
        <v>11534000</v>
      </c>
      <c r="X60" s="252">
        <f t="shared" si="2"/>
        <v>0</v>
      </c>
      <c r="Y60" s="252">
        <f t="shared" si="1"/>
        <v>9071970.6219754554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18875113.308291223</v>
      </c>
      <c r="T61" s="252"/>
      <c r="U61" s="254">
        <f t="shared" si="4"/>
        <v>1376632.8618390518</v>
      </c>
      <c r="V61" s="254">
        <f t="shared" si="5"/>
        <v>493947.1978159718</v>
      </c>
      <c r="W61" s="252">
        <f t="shared" si="6"/>
        <v>11534000</v>
      </c>
      <c r="X61" s="252">
        <f t="shared" si="2"/>
        <v>0</v>
      </c>
      <c r="Y61" s="252">
        <f t="shared" si="1"/>
        <v>9211693.3679462485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3670000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18985218.135922924</v>
      </c>
      <c r="T62" s="252"/>
      <c r="U62" s="254">
        <f t="shared" si="4"/>
        <v>1398104.8023543772</v>
      </c>
      <c r="V62" s="254">
        <f t="shared" si="5"/>
        <v>502909.182960712</v>
      </c>
      <c r="W62" s="252">
        <f t="shared" si="6"/>
        <v>11534000</v>
      </c>
      <c r="X62" s="252">
        <f t="shared" si="2"/>
        <v>0</v>
      </c>
      <c r="Y62" s="252">
        <f t="shared" si="1"/>
        <v>9352232.1212380119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1080000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19095965.241715807</v>
      </c>
      <c r="T63" s="252"/>
      <c r="U63" s="254">
        <f t="shared" si="4"/>
        <v>1419755.6757073302</v>
      </c>
      <c r="V63" s="254">
        <f t="shared" si="5"/>
        <v>511871.16810545221</v>
      </c>
      <c r="W63" s="252">
        <f t="shared" si="6"/>
        <v>11534000</v>
      </c>
      <c r="X63" s="252">
        <f t="shared" si="2"/>
        <v>0</v>
      </c>
      <c r="Y63" s="252">
        <f t="shared" si="1"/>
        <v>9493592.0855285898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19207358.372292485</v>
      </c>
      <c r="T64" s="252">
        <f>$V$4</f>
        <v>2000000</v>
      </c>
      <c r="U64" s="254">
        <f t="shared" si="4"/>
        <v>1441586.9730048913</v>
      </c>
      <c r="V64" s="254">
        <f t="shared" si="5"/>
        <v>520833.15325019241</v>
      </c>
      <c r="W64" s="252">
        <f t="shared" si="6"/>
        <v>11534000</v>
      </c>
      <c r="X64" s="252">
        <f t="shared" si="2"/>
        <v>2000000</v>
      </c>
      <c r="Y64" s="252">
        <f t="shared" si="1"/>
        <v>11635778.498547569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3902000</v>
      </c>
      <c r="E65" s="200"/>
      <c r="F65" s="201"/>
      <c r="G65" s="202" t="s">
        <v>158</v>
      </c>
      <c r="H65" s="203" t="s">
        <v>114</v>
      </c>
      <c r="I65" s="204">
        <f>I19-I32</f>
        <v>8961.9851447402289</v>
      </c>
      <c r="J65" s="18"/>
      <c r="K65" s="205"/>
      <c r="L65" s="212" t="s">
        <v>214</v>
      </c>
      <c r="M65" s="223">
        <v>790000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21319401.296130858</v>
      </c>
      <c r="T65" s="252"/>
      <c r="U65" s="254">
        <f t="shared" si="4"/>
        <v>1463600.1977799321</v>
      </c>
      <c r="V65" s="254">
        <f t="shared" si="5"/>
        <v>529795.13839493261</v>
      </c>
      <c r="W65" s="252">
        <f t="shared" si="6"/>
        <v>13534000</v>
      </c>
      <c r="X65" s="252">
        <f t="shared" si="2"/>
        <v>0</v>
      </c>
      <c r="Y65" s="252">
        <f t="shared" si="1"/>
        <v>9778796.6323057227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860000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21443764.47035829</v>
      </c>
      <c r="T66" s="252"/>
      <c r="U66" s="254">
        <f t="shared" si="4"/>
        <v>1485796.8660947648</v>
      </c>
      <c r="V66" s="254">
        <f t="shared" si="5"/>
        <v>538757.12353967282</v>
      </c>
      <c r="W66" s="252">
        <f t="shared" si="6"/>
        <v>13534000</v>
      </c>
      <c r="X66" s="252">
        <f t="shared" si="2"/>
        <v>0</v>
      </c>
      <c r="Y66" s="252">
        <f t="shared" si="1"/>
        <v>9934318.4599927254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4322000</v>
      </c>
      <c r="E67" s="459"/>
      <c r="F67" s="366"/>
      <c r="G67" s="461" t="s">
        <v>113</v>
      </c>
      <c r="H67" s="461" t="s">
        <v>115</v>
      </c>
      <c r="I67" s="462">
        <f>I65*12</f>
        <v>107543.82173688275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1408000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7528.0675215817928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3522000</v>
      </c>
      <c r="E72" s="464"/>
      <c r="F72" s="201"/>
      <c r="G72" s="195" t="s">
        <v>1</v>
      </c>
      <c r="H72" s="195" t="s">
        <v>114</v>
      </c>
      <c r="I72" s="196">
        <f>H5</f>
        <v>13151.666666666668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6980000</v>
      </c>
      <c r="E74" s="464"/>
      <c r="F74" s="201"/>
      <c r="G74" s="195" t="s">
        <v>251</v>
      </c>
      <c r="H74" s="195" t="s">
        <v>114</v>
      </c>
      <c r="I74" s="196">
        <f>I32-H5</f>
        <v>13038.014855259768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549220</v>
      </c>
      <c r="E75" s="464"/>
      <c r="F75" s="201"/>
      <c r="G75" s="456"/>
      <c r="H75" s="195" t="s">
        <v>115</v>
      </c>
      <c r="I75" s="196">
        <f>I74*12</f>
        <v>156456.17826311721</v>
      </c>
      <c r="K75" s="205"/>
      <c r="L75" s="212" t="s">
        <v>335</v>
      </c>
      <c r="M75" s="223">
        <v>1176000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2407018.12712488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3458000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0.50458452722063041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2062000</v>
      </c>
      <c r="E81" s="464"/>
      <c r="F81" s="366"/>
      <c r="G81" s="380"/>
      <c r="H81" s="452"/>
      <c r="I81" s="407"/>
      <c r="K81" s="205"/>
      <c r="L81" s="212"/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SUM(E38:E39)+E43</f>
        <v>386000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10310000</v>
      </c>
      <c r="E83" s="464"/>
      <c r="F83" s="366"/>
      <c r="G83" s="475" t="s">
        <v>163</v>
      </c>
      <c r="H83" s="475"/>
      <c r="I83" s="477">
        <f>SUM(E41:E42)</f>
        <v>70000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456000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-2300629.3500981317</v>
      </c>
      <c r="E87" s="480"/>
      <c r="F87" s="366"/>
      <c r="G87" s="201"/>
      <c r="H87" s="452"/>
      <c r="I87" s="407"/>
      <c r="L87" s="247"/>
      <c r="M87" s="120"/>
      <c r="O87" s="119" t="s">
        <v>340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34.97464952005646</v>
      </c>
      <c r="L88" s="119" t="s">
        <v>337</v>
      </c>
      <c r="M88" s="120">
        <f>M75-M57</f>
        <v>800000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2.9145541266713715</v>
      </c>
      <c r="L89" s="119" t="s">
        <v>338</v>
      </c>
      <c r="M89" s="120">
        <v>50000</v>
      </c>
      <c r="O89" s="120">
        <f>M88-M89</f>
        <v>750000</v>
      </c>
    </row>
    <row r="90" spans="2:26" ht="45" x14ac:dyDescent="0.45">
      <c r="B90" s="479" t="s">
        <v>117</v>
      </c>
      <c r="C90" s="480"/>
      <c r="D90" s="481">
        <f>PV(8%/12,30*12,H24,0)*-1</f>
        <v>1221370.6499018683</v>
      </c>
      <c r="E90" s="480"/>
      <c r="F90" s="366"/>
      <c r="G90" s="482" t="s">
        <v>161</v>
      </c>
      <c r="H90" s="482"/>
      <c r="I90" s="483">
        <f>H24/(I32-H5)</f>
        <v>0.68737344175710957</v>
      </c>
      <c r="L90" s="119" t="s">
        <v>309</v>
      </c>
      <c r="M90" s="120">
        <v>140000</v>
      </c>
      <c r="O90" s="120">
        <f>O89-M90</f>
        <v>610000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O91" s="120"/>
    </row>
    <row r="92" spans="2:26" ht="35" customHeight="1" x14ac:dyDescent="0.35">
      <c r="D92" s="99"/>
      <c r="E92" s="22"/>
      <c r="L92" s="119" t="s">
        <v>308</v>
      </c>
      <c r="M92" s="120">
        <v>380000</v>
      </c>
      <c r="O92" s="120">
        <f>O90-M92</f>
        <v>230000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286</v>
      </c>
      <c r="M93" s="120">
        <v>480000</v>
      </c>
      <c r="O93" s="120">
        <f>O92-M93</f>
        <v>-250000</v>
      </c>
    </row>
    <row r="94" spans="2:26" ht="35" customHeight="1" x14ac:dyDescent="0.35">
      <c r="D94" s="99"/>
      <c r="E94" s="98"/>
      <c r="F94" s="99"/>
      <c r="G94" s="99"/>
      <c r="H94" s="99"/>
      <c r="L94" s="247"/>
      <c r="O94" s="120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M97" s="293">
        <f>SUM(M88-M89-M90-M92-M93)</f>
        <v>-250000</v>
      </c>
      <c r="O97" s="12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O98" s="12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446000</v>
      </c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964000</v>
      </c>
      <c r="I102" s="270" t="s">
        <v>212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1420000</v>
      </c>
      <c r="I104" s="270">
        <f>H104*0.075</f>
        <v>106500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15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5" ht="35" x14ac:dyDescent="0.35">
      <c r="B108" s="270"/>
      <c r="C108" s="270"/>
      <c r="D108" s="273"/>
      <c r="E108" s="270"/>
      <c r="F108" s="271"/>
      <c r="G108" s="271"/>
      <c r="H108" s="271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680A-3112-FE4C-B3F8-A4DF4D449044}">
  <dimension ref="B1:AI137"/>
  <sheetViews>
    <sheetView showGridLines="0" topLeftCell="A15" zoomScale="40" zoomScaleNormal="40" workbookViewId="0">
      <selection activeCell="E68" sqref="E68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51.33203125" style="18" customWidth="1"/>
    <col min="14" max="14" width="14.1640625" style="18" customWidth="1"/>
    <col min="15" max="15" width="37.332031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13151.666666666668</v>
      </c>
      <c r="I5" s="377">
        <f>H5*12</f>
        <v>157820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7010000</v>
      </c>
      <c r="T7" s="252"/>
      <c r="U7" s="252">
        <f>SUM(E41:E43)</f>
        <v>446000</v>
      </c>
      <c r="V7" s="252">
        <f>$E$38</f>
        <v>10000</v>
      </c>
      <c r="W7" s="252">
        <f>$I$57</f>
        <v>3534000</v>
      </c>
      <c r="X7" s="252">
        <f>T7</f>
        <v>0</v>
      </c>
      <c r="Y7" s="252">
        <f t="shared" ref="Y7:Y66" si="1">SUM(S7:V7)-W7</f>
        <v>3932000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7050891.666666667</v>
      </c>
      <c r="T8" s="252"/>
      <c r="U8" s="254">
        <f>($V$2/12+1)*U7+$V$3</f>
        <v>459716.66666666663</v>
      </c>
      <c r="V8" s="254">
        <f>V7+$I$65</f>
        <v>18961.985144740229</v>
      </c>
      <c r="W8" s="252">
        <f>W7+X7</f>
        <v>3534000</v>
      </c>
      <c r="X8" s="252">
        <f t="shared" ref="X8:X66" si="2">T8</f>
        <v>0</v>
      </c>
      <c r="Y8" s="252">
        <f t="shared" si="1"/>
        <v>3995570.3184780739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7092021.868055556</v>
      </c>
      <c r="T9" s="252"/>
      <c r="U9" s="254">
        <f t="shared" ref="U9:U66" si="4">($V$2/12+1)*U8+$V$3</f>
        <v>473547.63888888882</v>
      </c>
      <c r="V9" s="254">
        <f t="shared" ref="V9:V66" si="5">V8+$I$65</f>
        <v>27923.970289480458</v>
      </c>
      <c r="W9" s="252">
        <f t="shared" ref="W9:W66" si="6">W8+X8</f>
        <v>3534000</v>
      </c>
      <c r="X9" s="252">
        <f t="shared" si="2"/>
        <v>0</v>
      </c>
      <c r="Y9" s="252">
        <f t="shared" si="1"/>
        <v>4059493.4772339258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7133391.9956192132</v>
      </c>
      <c r="T10" s="252"/>
      <c r="U10" s="254">
        <f t="shared" si="4"/>
        <v>487493.86921296286</v>
      </c>
      <c r="V10" s="254">
        <f t="shared" si="5"/>
        <v>36885.955434220683</v>
      </c>
      <c r="W10" s="252">
        <f t="shared" si="6"/>
        <v>3534000</v>
      </c>
      <c r="X10" s="252">
        <f t="shared" si="2"/>
        <v>0</v>
      </c>
      <c r="Y10" s="252">
        <f t="shared" si="1"/>
        <v>4123771.8202663967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7175003.4489269918</v>
      </c>
      <c r="T11" s="252"/>
      <c r="U11" s="254">
        <f t="shared" si="4"/>
        <v>501556.31812307087</v>
      </c>
      <c r="V11" s="254">
        <f t="shared" si="5"/>
        <v>45847.940578960915</v>
      </c>
      <c r="W11" s="252">
        <f t="shared" si="6"/>
        <v>3534000</v>
      </c>
      <c r="X11" s="252">
        <f t="shared" si="2"/>
        <v>0</v>
      </c>
      <c r="Y11" s="252">
        <f t="shared" si="1"/>
        <v>4188407.7076290231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7216857.6357123991</v>
      </c>
      <c r="T12" s="252"/>
      <c r="U12" s="254">
        <f t="shared" si="4"/>
        <v>515735.95410742977</v>
      </c>
      <c r="V12" s="254">
        <f t="shared" si="5"/>
        <v>54809.925723701148</v>
      </c>
      <c r="W12" s="252">
        <f t="shared" si="6"/>
        <v>3534000</v>
      </c>
      <c r="X12" s="252">
        <f t="shared" si="2"/>
        <v>0</v>
      </c>
      <c r="Y12" s="252">
        <f t="shared" si="1"/>
        <v>4253403.5155435298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7258955.9719207212</v>
      </c>
      <c r="T13" s="252"/>
      <c r="U13" s="254">
        <f t="shared" si="4"/>
        <v>530033.75372499169</v>
      </c>
      <c r="V13" s="254">
        <f t="shared" si="5"/>
        <v>63771.91086844138</v>
      </c>
      <c r="W13" s="252">
        <f t="shared" si="6"/>
        <v>3534000</v>
      </c>
      <c r="X13" s="252">
        <f t="shared" si="2"/>
        <v>0</v>
      </c>
      <c r="Y13" s="252">
        <f t="shared" si="1"/>
        <v>4318761.6365141543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36400</v>
      </c>
      <c r="D14" s="378">
        <f>M14*52/12</f>
        <v>3033.3333333333335</v>
      </c>
      <c r="E14" s="392">
        <f>SUM(D14-D23)</f>
        <v>-22.993333333333339</v>
      </c>
      <c r="F14" s="391"/>
      <c r="G14" s="544" t="s">
        <v>68</v>
      </c>
      <c r="H14" s="539">
        <f>C14/E49</f>
        <v>3.2500000000000001E-2</v>
      </c>
      <c r="I14" s="542">
        <f>(D14-M29)/E49*12</f>
        <v>2.5993642857142861E-2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7301299.881756926</v>
      </c>
      <c r="T14" s="252"/>
      <c r="U14" s="254">
        <f t="shared" si="4"/>
        <v>544450.70167269988</v>
      </c>
      <c r="V14" s="254">
        <f t="shared" si="5"/>
        <v>72733.896013181613</v>
      </c>
      <c r="W14" s="252">
        <f t="shared" si="6"/>
        <v>3534000</v>
      </c>
      <c r="X14" s="252">
        <f t="shared" si="2"/>
        <v>0</v>
      </c>
      <c r="Y14" s="252">
        <f t="shared" si="1"/>
        <v>4384484.4794428078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39260</v>
      </c>
      <c r="D15" s="378">
        <f>M15*52/12</f>
        <v>3271.6666666666665</v>
      </c>
      <c r="E15" s="392">
        <f>SUM(D15-D24)</f>
        <v>1334.833333333333</v>
      </c>
      <c r="F15" s="391"/>
      <c r="G15" s="544" t="s">
        <v>69</v>
      </c>
      <c r="H15" s="539">
        <f>C15/E50</f>
        <v>6.7689655172413793E-2</v>
      </c>
      <c r="I15" s="542">
        <f>(D15-M30)/E50*12</f>
        <v>5.037931034482758E-2</v>
      </c>
      <c r="K15" s="205"/>
      <c r="L15" s="212" t="s">
        <v>221</v>
      </c>
      <c r="M15" s="223">
        <v>755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7343890.7977338415</v>
      </c>
      <c r="T15" s="252"/>
      <c r="U15" s="254">
        <f t="shared" si="4"/>
        <v>558987.79085330572</v>
      </c>
      <c r="V15" s="254">
        <f t="shared" si="5"/>
        <v>81695.881157921845</v>
      </c>
      <c r="W15" s="252">
        <f t="shared" si="6"/>
        <v>3534000</v>
      </c>
      <c r="X15" s="252">
        <f t="shared" si="2"/>
        <v>0</v>
      </c>
      <c r="Y15" s="252">
        <f t="shared" si="1"/>
        <v>4450574.4697450688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4.8050632911392402E-2</v>
      </c>
      <c r="I16" s="542">
        <f>(D16-M31)/E51*12</f>
        <v>3.5551291139240507E-2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7386730.1607206222</v>
      </c>
      <c r="T16" s="252"/>
      <c r="U16" s="254">
        <f t="shared" si="4"/>
        <v>573646.02244374994</v>
      </c>
      <c r="V16" s="254">
        <f t="shared" si="5"/>
        <v>90657.866302662078</v>
      </c>
      <c r="W16" s="252">
        <f t="shared" si="6"/>
        <v>3534000</v>
      </c>
      <c r="X16" s="252">
        <f t="shared" si="2"/>
        <v>0</v>
      </c>
      <c r="Y16" s="252">
        <f t="shared" si="1"/>
        <v>4517034.0494670346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5.1999999999999998E-2</v>
      </c>
      <c r="I17" s="542">
        <f>(D17-M32)/E52*12</f>
        <v>3.9844611764705884E-2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7429819.4199914923</v>
      </c>
      <c r="T17" s="252">
        <f>$V$4</f>
        <v>2000000</v>
      </c>
      <c r="U17" s="254">
        <f t="shared" si="4"/>
        <v>588426.40596411447</v>
      </c>
      <c r="V17" s="254">
        <f t="shared" si="5"/>
        <v>99619.85144740231</v>
      </c>
      <c r="W17" s="252">
        <f t="shared" si="6"/>
        <v>3534000</v>
      </c>
      <c r="X17" s="252">
        <f t="shared" si="2"/>
        <v>2000000</v>
      </c>
      <c r="Y17" s="252">
        <f t="shared" si="1"/>
        <v>6583865.6774030086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9473160.0332747772</v>
      </c>
      <c r="T18" s="252"/>
      <c r="U18" s="254">
        <f t="shared" si="4"/>
        <v>603329.95934714878</v>
      </c>
      <c r="V18" s="254">
        <f t="shared" si="5"/>
        <v>108581.83659214254</v>
      </c>
      <c r="W18" s="252">
        <f t="shared" si="6"/>
        <v>5534000</v>
      </c>
      <c r="X18" s="252">
        <f t="shared" si="2"/>
        <v>0</v>
      </c>
      <c r="Y18" s="252">
        <f t="shared" si="1"/>
        <v>4651071.82921407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12267.199999999997</v>
      </c>
      <c r="D19" s="535">
        <f>C19/12</f>
        <v>1022.2666666666664</v>
      </c>
      <c r="E19" s="534">
        <f>SUM(E14:E18)</f>
        <v>-1197.8399999999997</v>
      </c>
      <c r="F19" s="391"/>
      <c r="G19" s="547" t="s">
        <v>56</v>
      </c>
      <c r="H19" s="548" t="s">
        <v>57</v>
      </c>
      <c r="I19" s="549">
        <f>SUM(D6:D18)</f>
        <v>35151.666666666664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9528420.1334688812</v>
      </c>
      <c r="T19" s="252"/>
      <c r="U19" s="254">
        <f t="shared" si="4"/>
        <v>618357.70900837495</v>
      </c>
      <c r="V19" s="254">
        <f t="shared" si="5"/>
        <v>117543.82173688278</v>
      </c>
      <c r="W19" s="252">
        <f t="shared" si="6"/>
        <v>5534000</v>
      </c>
      <c r="X19" s="252">
        <f t="shared" si="2"/>
        <v>0</v>
      </c>
      <c r="Y19" s="252">
        <f t="shared" si="1"/>
        <v>4730321.6642141398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9584002.5842474494</v>
      </c>
      <c r="T20" s="252"/>
      <c r="U20" s="254">
        <f t="shared" si="4"/>
        <v>633510.68991677801</v>
      </c>
      <c r="V20" s="254">
        <f t="shared" si="5"/>
        <v>126505.80688162301</v>
      </c>
      <c r="W20" s="252">
        <f t="shared" si="6"/>
        <v>5534000</v>
      </c>
      <c r="X20" s="252">
        <f t="shared" si="2"/>
        <v>0</v>
      </c>
      <c r="Y20" s="252">
        <f t="shared" si="1"/>
        <v>4810019.0810458511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9639909.2659888938</v>
      </c>
      <c r="T21" s="252"/>
      <c r="U21" s="254">
        <f t="shared" si="4"/>
        <v>648789.94566608442</v>
      </c>
      <c r="V21" s="254">
        <f t="shared" si="5"/>
        <v>135467.79202636323</v>
      </c>
      <c r="W21" s="252">
        <f t="shared" si="6"/>
        <v>5534000</v>
      </c>
      <c r="X21" s="252">
        <f t="shared" si="2"/>
        <v>0</v>
      </c>
      <c r="Y21" s="252">
        <f t="shared" si="1"/>
        <v>4890167.0036813412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54026.868263117198</v>
      </c>
      <c r="D22" s="409">
        <f>PMT(M22/12,30*12,-(M75-M57))</f>
        <v>4502.2390219264335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9696142.0700404961</v>
      </c>
      <c r="T22" s="252"/>
      <c r="U22" s="254">
        <f t="shared" si="4"/>
        <v>664196.52854663506</v>
      </c>
      <c r="V22" s="254">
        <f t="shared" si="5"/>
        <v>144429.77717110346</v>
      </c>
      <c r="W22" s="252">
        <f t="shared" si="6"/>
        <v>5534000</v>
      </c>
      <c r="X22" s="252">
        <f t="shared" si="2"/>
        <v>0</v>
      </c>
      <c r="Y22" s="252">
        <f t="shared" si="1"/>
        <v>4970768.3757582344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9752702.8987823986</v>
      </c>
      <c r="T23" s="252"/>
      <c r="U23" s="254">
        <f t="shared" si="4"/>
        <v>679731.49961785704</v>
      </c>
      <c r="V23" s="254">
        <f t="shared" si="5"/>
        <v>153391.76231584369</v>
      </c>
      <c r="W23" s="252">
        <f t="shared" si="6"/>
        <v>5534000</v>
      </c>
      <c r="X23" s="252">
        <f t="shared" si="2"/>
        <v>0</v>
      </c>
      <c r="Y23" s="252">
        <f t="shared" si="1"/>
        <v>5051826.1607160997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8961.9851447402289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9809593.6656919625</v>
      </c>
      <c r="T24" s="252"/>
      <c r="U24" s="254">
        <f t="shared" si="4"/>
        <v>695395.9287813392</v>
      </c>
      <c r="V24" s="254">
        <f t="shared" si="5"/>
        <v>162353.74746058392</v>
      </c>
      <c r="W24" s="252">
        <f t="shared" si="6"/>
        <v>5534000</v>
      </c>
      <c r="X24" s="252">
        <f t="shared" si="2"/>
        <v>0</v>
      </c>
      <c r="Y24" s="252">
        <f t="shared" si="1"/>
        <v>5133343.3419338856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9866816.2954084985</v>
      </c>
      <c r="T25" s="252"/>
      <c r="U25" s="254">
        <f t="shared" si="4"/>
        <v>711190.89485451696</v>
      </c>
      <c r="V25" s="254">
        <f t="shared" si="5"/>
        <v>171315.73260532416</v>
      </c>
      <c r="W25" s="252">
        <f t="shared" si="6"/>
        <v>5534000</v>
      </c>
      <c r="X25" s="252">
        <f t="shared" si="2"/>
        <v>0</v>
      </c>
      <c r="Y25" s="252">
        <f t="shared" si="1"/>
        <v>5215322.9228683412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9924372.7237983812</v>
      </c>
      <c r="T26" s="252"/>
      <c r="U26" s="254">
        <f t="shared" si="4"/>
        <v>727117.48564497125</v>
      </c>
      <c r="V26" s="254">
        <f t="shared" si="5"/>
        <v>180277.71775006439</v>
      </c>
      <c r="W26" s="252">
        <f t="shared" si="6"/>
        <v>5534000</v>
      </c>
      <c r="X26" s="252">
        <f t="shared" si="2"/>
        <v>0</v>
      </c>
      <c r="Y26" s="252">
        <f t="shared" si="1"/>
        <v>5297767.9271934181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9982264.8980205394</v>
      </c>
      <c r="T27" s="252"/>
      <c r="U27" s="254">
        <f t="shared" si="4"/>
        <v>743176.79802534601</v>
      </c>
      <c r="V27" s="254">
        <f t="shared" si="5"/>
        <v>189239.70289480462</v>
      </c>
      <c r="W27" s="252">
        <f t="shared" si="6"/>
        <v>5534000</v>
      </c>
      <c r="X27" s="252">
        <f t="shared" si="2"/>
        <v>0</v>
      </c>
      <c r="Y27" s="252">
        <f t="shared" si="1"/>
        <v>5380681.3989406899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10040494.776592325</v>
      </c>
      <c r="T28" s="252">
        <f>$V$4</f>
        <v>2000000</v>
      </c>
      <c r="U28" s="254">
        <f t="shared" si="4"/>
        <v>759369.93800889049</v>
      </c>
      <c r="V28" s="254">
        <f t="shared" si="5"/>
        <v>198201.68803954485</v>
      </c>
      <c r="W28" s="252">
        <f t="shared" si="6"/>
        <v>5534000</v>
      </c>
      <c r="X28" s="252">
        <f t="shared" si="2"/>
        <v>2000000</v>
      </c>
      <c r="Y28" s="252">
        <f t="shared" si="1"/>
        <v>7464066.4026407599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12099064.329455782</v>
      </c>
      <c r="T29" s="252"/>
      <c r="U29" s="254">
        <f t="shared" si="4"/>
        <v>775698.02082563122</v>
      </c>
      <c r="V29" s="254">
        <f t="shared" si="5"/>
        <v>207163.67318428509</v>
      </c>
      <c r="W29" s="252">
        <f t="shared" si="6"/>
        <v>7534000</v>
      </c>
      <c r="X29" s="252">
        <f t="shared" si="2"/>
        <v>0</v>
      </c>
      <c r="Y29" s="252">
        <f t="shared" si="1"/>
        <v>5547926.0234656986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12169642.20471094</v>
      </c>
      <c r="T30" s="252"/>
      <c r="U30" s="254">
        <f t="shared" si="4"/>
        <v>792162.17099917808</v>
      </c>
      <c r="V30" s="254">
        <f t="shared" si="5"/>
        <v>216125.65832902532</v>
      </c>
      <c r="W30" s="252">
        <f t="shared" si="6"/>
        <v>7534000</v>
      </c>
      <c r="X30" s="252">
        <f t="shared" si="2"/>
        <v>0</v>
      </c>
      <c r="Y30" s="252">
        <f t="shared" si="1"/>
        <v>5643930.0340391435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12240631.78423842</v>
      </c>
      <c r="T31" s="252"/>
      <c r="U31" s="254">
        <f t="shared" si="4"/>
        <v>808763.52242417121</v>
      </c>
      <c r="V31" s="254">
        <f t="shared" si="5"/>
        <v>225087.64347376555</v>
      </c>
      <c r="W31" s="252">
        <f t="shared" si="6"/>
        <v>7534000</v>
      </c>
      <c r="X31" s="252">
        <f t="shared" si="2"/>
        <v>0</v>
      </c>
      <c r="Y31" s="252">
        <f t="shared" si="1"/>
        <v>5740482.9501363561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26189.681521926435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12312035.469646478</v>
      </c>
      <c r="T32" s="252"/>
      <c r="U32" s="254">
        <f t="shared" si="4"/>
        <v>825503.21844437264</v>
      </c>
      <c r="V32" s="254">
        <f t="shared" si="5"/>
        <v>234049.62861850578</v>
      </c>
      <c r="W32" s="252">
        <f t="shared" si="6"/>
        <v>7534000</v>
      </c>
      <c r="X32" s="252">
        <f t="shared" si="2"/>
        <v>0</v>
      </c>
      <c r="Y32" s="252">
        <f t="shared" si="1"/>
        <v>5837588.3167093582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12383855.67655275</v>
      </c>
      <c r="T33" s="252"/>
      <c r="U33" s="254">
        <f t="shared" si="4"/>
        <v>842382.41193140903</v>
      </c>
      <c r="V33" s="254">
        <f t="shared" si="5"/>
        <v>243011.61376324602</v>
      </c>
      <c r="W33" s="252">
        <f t="shared" si="6"/>
        <v>7534000</v>
      </c>
      <c r="X33" s="252">
        <f t="shared" si="2"/>
        <v>0</v>
      </c>
      <c r="Y33" s="252">
        <f t="shared" si="1"/>
        <v>5935249.7022474054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12456094.834665975</v>
      </c>
      <c r="T34" s="252"/>
      <c r="U34" s="254">
        <f t="shared" si="4"/>
        <v>859402.26536417077</v>
      </c>
      <c r="V34" s="254">
        <f t="shared" si="5"/>
        <v>251973.59890798625</v>
      </c>
      <c r="W34" s="252">
        <f t="shared" si="6"/>
        <v>7534000</v>
      </c>
      <c r="X34" s="252">
        <f t="shared" si="2"/>
        <v>0</v>
      </c>
      <c r="Y34" s="252">
        <f t="shared" si="1"/>
        <v>6033470.6989381313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12528755.387868194</v>
      </c>
      <c r="T35" s="252"/>
      <c r="U35" s="254">
        <f t="shared" si="4"/>
        <v>876563.95090887218</v>
      </c>
      <c r="V35" s="254">
        <f t="shared" si="5"/>
        <v>260935.58405272648</v>
      </c>
      <c r="W35" s="252">
        <f t="shared" si="6"/>
        <v>7534000</v>
      </c>
      <c r="X35" s="252">
        <f t="shared" si="2"/>
        <v>0</v>
      </c>
      <c r="Y35" s="252">
        <f t="shared" si="1"/>
        <v>6132254.9228297919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12601839.794297425</v>
      </c>
      <c r="T36" s="252"/>
      <c r="U36" s="254">
        <f t="shared" si="4"/>
        <v>893868.65049977938</v>
      </c>
      <c r="V36" s="254">
        <f t="shared" si="5"/>
        <v>269897.56919746671</v>
      </c>
      <c r="W36" s="252">
        <f t="shared" si="6"/>
        <v>7534000</v>
      </c>
      <c r="X36" s="252">
        <f t="shared" si="2"/>
        <v>0</v>
      </c>
      <c r="Y36" s="252">
        <f t="shared" si="1"/>
        <v>6231606.0139946714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12675350.526430827</v>
      </c>
      <c r="T37" s="252"/>
      <c r="U37" s="254">
        <f t="shared" si="4"/>
        <v>911317.5559206109</v>
      </c>
      <c r="V37" s="254">
        <f t="shared" si="5"/>
        <v>278859.55434220692</v>
      </c>
      <c r="W37" s="252">
        <f t="shared" si="6"/>
        <v>7534000</v>
      </c>
      <c r="X37" s="252">
        <f t="shared" si="2"/>
        <v>0</v>
      </c>
      <c r="Y37" s="252">
        <f t="shared" si="1"/>
        <v>6331527.6366936434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12749290.071168341</v>
      </c>
      <c r="T38" s="252"/>
      <c r="U38" s="254">
        <f t="shared" si="4"/>
        <v>928911.86888661596</v>
      </c>
      <c r="V38" s="254">
        <f t="shared" si="5"/>
        <v>287821.53948694712</v>
      </c>
      <c r="W38" s="252">
        <f t="shared" si="6"/>
        <v>7534000</v>
      </c>
      <c r="X38" s="252">
        <f t="shared" si="2"/>
        <v>0</v>
      </c>
      <c r="Y38" s="252">
        <f t="shared" si="1"/>
        <v>6432023.4795419034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12823660.929916823</v>
      </c>
      <c r="T39" s="252"/>
      <c r="U39" s="254">
        <f t="shared" si="4"/>
        <v>946652.80112733773</v>
      </c>
      <c r="V39" s="254">
        <f t="shared" si="5"/>
        <v>296783.52463168732</v>
      </c>
      <c r="W39" s="252">
        <f t="shared" si="6"/>
        <v>7534000</v>
      </c>
      <c r="X39" s="252">
        <f t="shared" si="2"/>
        <v>0</v>
      </c>
      <c r="Y39" s="252">
        <f t="shared" si="1"/>
        <v>6533097.2556758467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12898465.618674671</v>
      </c>
      <c r="T40" s="252">
        <f>$V$4</f>
        <v>2000000</v>
      </c>
      <c r="U40" s="254">
        <f t="shared" si="4"/>
        <v>964541.57447006553</v>
      </c>
      <c r="V40" s="254">
        <f t="shared" si="5"/>
        <v>305745.50977642753</v>
      </c>
      <c r="W40" s="252">
        <f t="shared" si="6"/>
        <v>7534000</v>
      </c>
      <c r="X40" s="252">
        <f t="shared" si="2"/>
        <v>2000000</v>
      </c>
      <c r="Y40" s="252">
        <f t="shared" si="1"/>
        <v>8634752.7029211652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70000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14973706.66811694</v>
      </c>
      <c r="T41" s="252"/>
      <c r="U41" s="254">
        <f t="shared" si="4"/>
        <v>982579.42092398275</v>
      </c>
      <c r="V41" s="254">
        <f t="shared" si="5"/>
        <v>314707.49492116773</v>
      </c>
      <c r="W41" s="252">
        <f t="shared" si="6"/>
        <v>9534000</v>
      </c>
      <c r="X41" s="252">
        <f t="shared" si="2"/>
        <v>0</v>
      </c>
      <c r="Y41" s="252">
        <f t="shared" si="1"/>
        <v>6736993.5839620922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15061053.290347623</v>
      </c>
      <c r="T42" s="252"/>
      <c r="U42" s="254">
        <f t="shared" si="4"/>
        <v>1000767.5827650159</v>
      </c>
      <c r="V42" s="254">
        <f t="shared" si="5"/>
        <v>323669.48006590793</v>
      </c>
      <c r="W42" s="252">
        <f t="shared" si="6"/>
        <v>9534000</v>
      </c>
      <c r="X42" s="252">
        <f t="shared" si="2"/>
        <v>0</v>
      </c>
      <c r="Y42" s="252">
        <f t="shared" si="1"/>
        <v>6851490.3531785477</v>
      </c>
      <c r="Z42" s="255"/>
      <c r="AA42" s="255"/>
      <c r="AB42" s="255"/>
      <c r="AC42" s="255"/>
    </row>
    <row r="43" spans="2:29" ht="45" x14ac:dyDescent="0.45">
      <c r="B43" s="406" t="str">
        <f>L57</f>
        <v>Mortgage Redraw</v>
      </c>
      <c r="C43" s="201"/>
      <c r="D43" s="366"/>
      <c r="E43" s="433">
        <f>M57</f>
        <v>376000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15148909.434541317</v>
      </c>
      <c r="T43" s="252"/>
      <c r="U43" s="254">
        <f t="shared" si="4"/>
        <v>1019107.312621391</v>
      </c>
      <c r="V43" s="254">
        <f t="shared" si="5"/>
        <v>332631.46521064814</v>
      </c>
      <c r="W43" s="252">
        <f t="shared" si="6"/>
        <v>9534000</v>
      </c>
      <c r="X43" s="252">
        <f t="shared" si="2"/>
        <v>0</v>
      </c>
      <c r="Y43" s="252">
        <f t="shared" si="1"/>
        <v>6966648.2123733554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15237278.072909474</v>
      </c>
      <c r="T44" s="252"/>
      <c r="U44" s="254">
        <f t="shared" si="4"/>
        <v>1037599.8735599025</v>
      </c>
      <c r="V44" s="254">
        <f t="shared" si="5"/>
        <v>341593.45035538834</v>
      </c>
      <c r="W44" s="252">
        <f t="shared" si="6"/>
        <v>9534000</v>
      </c>
      <c r="X44" s="252">
        <f t="shared" si="2"/>
        <v>0</v>
      </c>
      <c r="Y44" s="252">
        <f t="shared" si="1"/>
        <v>7082471.396824766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15326162.195001448</v>
      </c>
      <c r="T45" s="252"/>
      <c r="U45" s="254">
        <f t="shared" si="4"/>
        <v>1056246.5391729018</v>
      </c>
      <c r="V45" s="254">
        <f t="shared" si="5"/>
        <v>350555.43550012854</v>
      </c>
      <c r="W45" s="252">
        <f t="shared" si="6"/>
        <v>9534000</v>
      </c>
      <c r="X45" s="252">
        <f t="shared" si="2"/>
        <v>0</v>
      </c>
      <c r="Y45" s="252">
        <f t="shared" si="1"/>
        <v>7198964.1696744766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15415564.807805624</v>
      </c>
      <c r="T46" s="252"/>
      <c r="U46" s="254">
        <f t="shared" si="4"/>
        <v>1075048.5936660091</v>
      </c>
      <c r="V46" s="254">
        <f t="shared" si="5"/>
        <v>359517.42064486875</v>
      </c>
      <c r="W46" s="252">
        <f t="shared" si="6"/>
        <v>9534000</v>
      </c>
      <c r="X46" s="252">
        <f t="shared" si="2"/>
        <v>0</v>
      </c>
      <c r="Y46" s="252">
        <f t="shared" si="1"/>
        <v>7316130.8221165016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15505488.935851157</v>
      </c>
      <c r="T47" s="252"/>
      <c r="U47" s="254">
        <f t="shared" si="4"/>
        <v>1094007.3319465593</v>
      </c>
      <c r="V47" s="254">
        <f t="shared" si="5"/>
        <v>368479.40578960895</v>
      </c>
      <c r="W47" s="252">
        <f t="shared" si="6"/>
        <v>9534000</v>
      </c>
      <c r="X47" s="252">
        <f t="shared" si="2"/>
        <v>0</v>
      </c>
      <c r="Y47" s="252">
        <f t="shared" si="1"/>
        <v>7433975.673587326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2494000</v>
      </c>
      <c r="E48" s="433">
        <f t="shared" ref="E48:E53" si="10">M62</f>
        <v>3670000</v>
      </c>
      <c r="F48" s="366"/>
      <c r="G48" s="365" t="s">
        <v>6</v>
      </c>
      <c r="H48" s="201"/>
      <c r="I48" s="434">
        <f>M75</f>
        <v>1176000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15595937.621310288</v>
      </c>
      <c r="T48" s="252"/>
      <c r="U48" s="254">
        <f t="shared" si="4"/>
        <v>1113124.0597127806</v>
      </c>
      <c r="V48" s="254">
        <f t="shared" si="5"/>
        <v>377441.39093434915</v>
      </c>
      <c r="W48" s="252">
        <f t="shared" si="6"/>
        <v>9534000</v>
      </c>
      <c r="X48" s="252">
        <f t="shared" si="2"/>
        <v>0</v>
      </c>
      <c r="Y48" s="252">
        <f t="shared" si="1"/>
        <v>7552503.0719574168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608000</v>
      </c>
      <c r="E49" s="433">
        <f t="shared" si="10"/>
        <v>1120000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15686913.924101265</v>
      </c>
      <c r="T49" s="252"/>
      <c r="U49" s="254">
        <f t="shared" si="4"/>
        <v>1132400.0935437204</v>
      </c>
      <c r="V49" s="254">
        <f t="shared" si="5"/>
        <v>386403.37607908936</v>
      </c>
      <c r="W49" s="252">
        <f t="shared" si="6"/>
        <v>9534000</v>
      </c>
      <c r="X49" s="252">
        <f t="shared" si="2"/>
        <v>0</v>
      </c>
      <c r="Y49" s="252">
        <f t="shared" si="1"/>
        <v>7671717.3937240764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350000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15778420.921991857</v>
      </c>
      <c r="T50" s="252"/>
      <c r="U50" s="254">
        <f t="shared" si="4"/>
        <v>1151836.7609899181</v>
      </c>
      <c r="V50" s="254">
        <f t="shared" si="5"/>
        <v>395365.36122382956</v>
      </c>
      <c r="W50" s="252">
        <f t="shared" si="6"/>
        <v>9534000</v>
      </c>
      <c r="X50" s="252">
        <f t="shared" si="2"/>
        <v>0</v>
      </c>
      <c r="Y50" s="252">
        <f t="shared" si="1"/>
        <v>7791623.0442056023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10000</v>
      </c>
      <c r="E51" s="433">
        <f t="shared" si="10"/>
        <v>790000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15870461.710703475</v>
      </c>
      <c r="T51" s="252"/>
      <c r="U51" s="254">
        <f t="shared" si="4"/>
        <v>1171435.4006648341</v>
      </c>
      <c r="V51" s="254">
        <f t="shared" si="5"/>
        <v>404327.34636856976</v>
      </c>
      <c r="W51" s="252">
        <f t="shared" si="6"/>
        <v>9534000</v>
      </c>
      <c r="X51" s="252">
        <f t="shared" si="2"/>
        <v>0</v>
      </c>
      <c r="Y51" s="252">
        <f t="shared" si="1"/>
        <v>7912224.4577368796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26000</v>
      </c>
      <c r="E52" s="433">
        <f t="shared" si="10"/>
        <v>850000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15963039.404015914</v>
      </c>
      <c r="T52" s="252">
        <f>$V$4</f>
        <v>2000000</v>
      </c>
      <c r="U52" s="254">
        <f t="shared" si="4"/>
        <v>1191197.3623370409</v>
      </c>
      <c r="V52" s="254">
        <f t="shared" si="5"/>
        <v>413289.33151330997</v>
      </c>
      <c r="W52" s="252">
        <f t="shared" si="6"/>
        <v>9534000</v>
      </c>
      <c r="X52" s="252">
        <f t="shared" si="2"/>
        <v>2000000</v>
      </c>
      <c r="Y52" s="252">
        <f t="shared" si="1"/>
        <v>10033526.097866267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18056157.133872673</v>
      </c>
      <c r="T53" s="252"/>
      <c r="U53" s="254">
        <f t="shared" si="4"/>
        <v>1211124.0070231829</v>
      </c>
      <c r="V53" s="254">
        <f t="shared" si="5"/>
        <v>422251.31665805017</v>
      </c>
      <c r="W53" s="252">
        <f t="shared" si="6"/>
        <v>11534000</v>
      </c>
      <c r="X53" s="252">
        <f t="shared" si="2"/>
        <v>0</v>
      </c>
      <c r="Y53" s="252">
        <f t="shared" si="1"/>
        <v>8155532.4575539045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18161484.717153598</v>
      </c>
      <c r="T54" s="252"/>
      <c r="U54" s="254">
        <f t="shared" si="4"/>
        <v>1231216.7070817095</v>
      </c>
      <c r="V54" s="254">
        <f t="shared" si="5"/>
        <v>431213.30180279037</v>
      </c>
      <c r="W54" s="252">
        <f t="shared" si="6"/>
        <v>11534000</v>
      </c>
      <c r="X54" s="252">
        <f t="shared" si="2"/>
        <v>0</v>
      </c>
      <c r="Y54" s="252">
        <f t="shared" si="1"/>
        <v>8289914.7260380983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70000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18267426.711336993</v>
      </c>
      <c r="T55" s="252"/>
      <c r="U55" s="254">
        <f t="shared" si="4"/>
        <v>1251476.8463073904</v>
      </c>
      <c r="V55" s="254">
        <f t="shared" si="5"/>
        <v>440175.28694753058</v>
      </c>
      <c r="W55" s="252">
        <f t="shared" si="6"/>
        <v>11534000</v>
      </c>
      <c r="X55" s="252">
        <f t="shared" si="2"/>
        <v>0</v>
      </c>
      <c r="Y55" s="252">
        <f t="shared" si="1"/>
        <v>8425078.8445919119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7886000</v>
      </c>
      <c r="F56" s="366"/>
      <c r="G56" s="441"/>
      <c r="H56" s="420"/>
      <c r="I56" s="442"/>
      <c r="J56" s="18"/>
      <c r="K56" s="205"/>
      <c r="L56" s="212" t="s">
        <v>80</v>
      </c>
      <c r="M56" s="223">
        <v>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18373986.700486459</v>
      </c>
      <c r="T56" s="252"/>
      <c r="U56" s="254">
        <f t="shared" si="4"/>
        <v>1271905.8200266187</v>
      </c>
      <c r="V56" s="254">
        <f t="shared" si="5"/>
        <v>449137.27209227078</v>
      </c>
      <c r="W56" s="252">
        <f t="shared" si="6"/>
        <v>11534000</v>
      </c>
      <c r="X56" s="252">
        <f t="shared" si="2"/>
        <v>0</v>
      </c>
      <c r="Y56" s="252">
        <f t="shared" si="1"/>
        <v>8561029.7926053479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7466000</v>
      </c>
      <c r="F57" s="416"/>
      <c r="G57" s="553" t="s">
        <v>59</v>
      </c>
      <c r="H57" s="554"/>
      <c r="I57" s="555">
        <f>SUM(I38:I56)</f>
        <v>3534000</v>
      </c>
      <c r="K57" s="205"/>
      <c r="L57" s="212" t="s">
        <v>341</v>
      </c>
      <c r="M57" s="223">
        <v>376000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18481168.28957263</v>
      </c>
      <c r="T57" s="252"/>
      <c r="U57" s="254">
        <f t="shared" si="4"/>
        <v>1292505.0351935071</v>
      </c>
      <c r="V57" s="254">
        <f t="shared" si="5"/>
        <v>458099.25723701098</v>
      </c>
      <c r="W57" s="252">
        <f t="shared" si="6"/>
        <v>11534000</v>
      </c>
      <c r="X57" s="252">
        <f t="shared" si="2"/>
        <v>0</v>
      </c>
      <c r="Y57" s="252">
        <f t="shared" si="1"/>
        <v>8697772.5820031464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18588975.104595136</v>
      </c>
      <c r="T58" s="252"/>
      <c r="U58" s="254">
        <f t="shared" si="4"/>
        <v>1313275.9104867864</v>
      </c>
      <c r="V58" s="254">
        <f t="shared" si="5"/>
        <v>467061.24238175119</v>
      </c>
      <c r="W58" s="252">
        <f t="shared" si="6"/>
        <v>11534000</v>
      </c>
      <c r="X58" s="252">
        <f t="shared" si="2"/>
        <v>0</v>
      </c>
      <c r="Y58" s="252">
        <f t="shared" si="1"/>
        <v>8835312.257463675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18697410.792705275</v>
      </c>
      <c r="T59" s="252"/>
      <c r="U59" s="254">
        <f t="shared" si="4"/>
        <v>1334219.8764075097</v>
      </c>
      <c r="V59" s="254">
        <f t="shared" si="5"/>
        <v>476023.22752649139</v>
      </c>
      <c r="W59" s="252">
        <f t="shared" si="6"/>
        <v>11534000</v>
      </c>
      <c r="X59" s="252">
        <f t="shared" si="2"/>
        <v>0</v>
      </c>
      <c r="Y59" s="252">
        <f t="shared" si="1"/>
        <v>8973653.8966392763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18806479.02232939</v>
      </c>
      <c r="T60" s="252"/>
      <c r="U60" s="254">
        <f t="shared" si="4"/>
        <v>1355338.3753775721</v>
      </c>
      <c r="V60" s="254">
        <f t="shared" si="5"/>
        <v>484985.21267123159</v>
      </c>
      <c r="W60" s="252">
        <f t="shared" si="6"/>
        <v>11534000</v>
      </c>
      <c r="X60" s="252">
        <f t="shared" si="2"/>
        <v>0</v>
      </c>
      <c r="Y60" s="252">
        <f t="shared" si="1"/>
        <v>9112802.6103781946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18916183.483292978</v>
      </c>
      <c r="T61" s="252"/>
      <c r="U61" s="254">
        <f t="shared" si="4"/>
        <v>1376632.8618390518</v>
      </c>
      <c r="V61" s="254">
        <f t="shared" si="5"/>
        <v>493947.1978159718</v>
      </c>
      <c r="W61" s="252">
        <f t="shared" si="6"/>
        <v>11534000</v>
      </c>
      <c r="X61" s="252">
        <f t="shared" si="2"/>
        <v>0</v>
      </c>
      <c r="Y61" s="252">
        <f t="shared" si="1"/>
        <v>9252763.5429480039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3670000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19026527.88694552</v>
      </c>
      <c r="T62" s="252"/>
      <c r="U62" s="254">
        <f t="shared" si="4"/>
        <v>1398104.8023543772</v>
      </c>
      <c r="V62" s="254">
        <f t="shared" si="5"/>
        <v>502909.182960712</v>
      </c>
      <c r="W62" s="252">
        <f t="shared" si="6"/>
        <v>11534000</v>
      </c>
      <c r="X62" s="252">
        <f t="shared" si="2"/>
        <v>0</v>
      </c>
      <c r="Y62" s="252">
        <f t="shared" si="1"/>
        <v>9393541.8722606078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1120000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19137515.966286037</v>
      </c>
      <c r="T63" s="252"/>
      <c r="U63" s="254">
        <f t="shared" si="4"/>
        <v>1419755.6757073302</v>
      </c>
      <c r="V63" s="254">
        <f t="shared" si="5"/>
        <v>511871.16810545221</v>
      </c>
      <c r="W63" s="252">
        <f t="shared" si="6"/>
        <v>11534000</v>
      </c>
      <c r="X63" s="252">
        <f t="shared" si="2"/>
        <v>0</v>
      </c>
      <c r="Y63" s="252">
        <f t="shared" si="1"/>
        <v>9535142.8100988194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19249151.476089373</v>
      </c>
      <c r="T64" s="252">
        <f>$V$4</f>
        <v>2000000</v>
      </c>
      <c r="U64" s="254">
        <f t="shared" si="4"/>
        <v>1441586.9730048913</v>
      </c>
      <c r="V64" s="254">
        <f t="shared" si="5"/>
        <v>520833.15325019241</v>
      </c>
      <c r="W64" s="252">
        <f t="shared" si="6"/>
        <v>11534000</v>
      </c>
      <c r="X64" s="252">
        <f t="shared" si="2"/>
        <v>2000000</v>
      </c>
      <c r="Y64" s="252">
        <f t="shared" si="1"/>
        <v>11677571.602344457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3932000</v>
      </c>
      <c r="E65" s="200"/>
      <c r="F65" s="201"/>
      <c r="G65" s="202" t="s">
        <v>158</v>
      </c>
      <c r="H65" s="203" t="s">
        <v>114</v>
      </c>
      <c r="I65" s="204">
        <f>I19-I32</f>
        <v>8961.9851447402289</v>
      </c>
      <c r="J65" s="18"/>
      <c r="K65" s="205"/>
      <c r="L65" s="212" t="s">
        <v>214</v>
      </c>
      <c r="M65" s="223">
        <v>790000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21361438.19303323</v>
      </c>
      <c r="T65" s="252"/>
      <c r="U65" s="254">
        <f t="shared" si="4"/>
        <v>1463600.1977799321</v>
      </c>
      <c r="V65" s="254">
        <f t="shared" si="5"/>
        <v>529795.13839493261</v>
      </c>
      <c r="W65" s="252">
        <f t="shared" si="6"/>
        <v>13534000</v>
      </c>
      <c r="X65" s="252">
        <f t="shared" si="2"/>
        <v>0</v>
      </c>
      <c r="Y65" s="252">
        <f t="shared" si="1"/>
        <v>9820833.5292080939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850000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21486046.58249259</v>
      </c>
      <c r="T66" s="252"/>
      <c r="U66" s="254">
        <f t="shared" si="4"/>
        <v>1485796.8660947648</v>
      </c>
      <c r="V66" s="254">
        <f t="shared" si="5"/>
        <v>538757.12353967282</v>
      </c>
      <c r="W66" s="252">
        <f t="shared" si="6"/>
        <v>13534000</v>
      </c>
      <c r="X66" s="252">
        <f t="shared" si="2"/>
        <v>0</v>
      </c>
      <c r="Y66" s="252">
        <f t="shared" si="1"/>
        <v>9976600.5721270256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4352000</v>
      </c>
      <c r="E67" s="459"/>
      <c r="F67" s="366"/>
      <c r="G67" s="461" t="s">
        <v>113</v>
      </c>
      <c r="H67" s="461" t="s">
        <v>115</v>
      </c>
      <c r="I67" s="462">
        <f>I65*12</f>
        <v>107543.82173688275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1438000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7528.0675215817928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3522000</v>
      </c>
      <c r="E72" s="464"/>
      <c r="F72" s="201"/>
      <c r="G72" s="195" t="s">
        <v>1</v>
      </c>
      <c r="H72" s="195" t="s">
        <v>114</v>
      </c>
      <c r="I72" s="196">
        <f>H5</f>
        <v>13151.666666666668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7010000</v>
      </c>
      <c r="E74" s="464"/>
      <c r="F74" s="201"/>
      <c r="G74" s="195" t="s">
        <v>251</v>
      </c>
      <c r="H74" s="195" t="s">
        <v>114</v>
      </c>
      <c r="I74" s="196">
        <f>I32-H5</f>
        <v>13038.014855259768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551320</v>
      </c>
      <c r="E75" s="464"/>
      <c r="F75" s="201"/>
      <c r="G75" s="456"/>
      <c r="H75" s="195" t="s">
        <v>115</v>
      </c>
      <c r="I75" s="196">
        <f>I74*12</f>
        <v>156456.17826311721</v>
      </c>
      <c r="K75" s="205"/>
      <c r="L75" s="212" t="s">
        <v>335</v>
      </c>
      <c r="M75" s="223">
        <v>1176000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2407018.12712488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3488000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0.5024251069900143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2086000</v>
      </c>
      <c r="E81" s="464"/>
      <c r="F81" s="366"/>
      <c r="G81" s="380"/>
      <c r="H81" s="452"/>
      <c r="I81" s="407"/>
      <c r="K81" s="205"/>
      <c r="L81" s="212"/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SUM(E38:E39)+E43</f>
        <v>386000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10430000</v>
      </c>
      <c r="E83" s="464"/>
      <c r="F83" s="366"/>
      <c r="G83" s="475" t="s">
        <v>163</v>
      </c>
      <c r="H83" s="475"/>
      <c r="I83" s="477">
        <f>SUM(E41:E42)</f>
        <v>70000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456000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-2300629.3500981317</v>
      </c>
      <c r="E87" s="480"/>
      <c r="F87" s="366"/>
      <c r="G87" s="201"/>
      <c r="H87" s="452"/>
      <c r="I87" s="407"/>
      <c r="L87" s="247"/>
      <c r="M87" s="120"/>
      <c r="O87" s="119" t="s">
        <v>340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34.97464952005646</v>
      </c>
      <c r="L88" s="119" t="s">
        <v>337</v>
      </c>
      <c r="M88" s="120">
        <f>M75-M57</f>
        <v>800000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2.9145541266713715</v>
      </c>
      <c r="L89" s="119" t="s">
        <v>338</v>
      </c>
      <c r="M89" s="120">
        <v>50000</v>
      </c>
      <c r="O89" s="120">
        <f>M88-M89</f>
        <v>750000</v>
      </c>
    </row>
    <row r="90" spans="2:26" ht="45" x14ac:dyDescent="0.45">
      <c r="B90" s="479" t="s">
        <v>117</v>
      </c>
      <c r="C90" s="480"/>
      <c r="D90" s="481">
        <f>PV(8%/12,30*12,H24,0)*-1</f>
        <v>1221370.6499018683</v>
      </c>
      <c r="E90" s="480"/>
      <c r="F90" s="366"/>
      <c r="G90" s="482" t="s">
        <v>161</v>
      </c>
      <c r="H90" s="482"/>
      <c r="I90" s="483">
        <f>H24/(I32-H5)</f>
        <v>0.68737344175710957</v>
      </c>
      <c r="L90" s="119" t="s">
        <v>309</v>
      </c>
      <c r="M90" s="120">
        <v>140000</v>
      </c>
      <c r="O90" s="120">
        <f>O89-M90</f>
        <v>610000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O91" s="120"/>
    </row>
    <row r="92" spans="2:26" ht="35" customHeight="1" x14ac:dyDescent="0.35">
      <c r="D92" s="99"/>
      <c r="E92" s="22"/>
      <c r="L92" s="119" t="s">
        <v>308</v>
      </c>
      <c r="M92" s="120">
        <v>380000</v>
      </c>
      <c r="O92" s="120">
        <f>O90-M92</f>
        <v>230000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286</v>
      </c>
      <c r="M93" s="120">
        <v>480000</v>
      </c>
      <c r="O93" s="120">
        <f>O92-M93</f>
        <v>-250000</v>
      </c>
    </row>
    <row r="94" spans="2:26" ht="35" customHeight="1" x14ac:dyDescent="0.35">
      <c r="D94" s="99"/>
      <c r="E94" s="98"/>
      <c r="F94" s="99"/>
      <c r="G94" s="99"/>
      <c r="H94" s="99"/>
      <c r="L94" s="247"/>
      <c r="O94" s="120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M97" s="293">
        <f>SUM(M88-M89-M90-M92-M93)</f>
        <v>-250000</v>
      </c>
      <c r="O97" s="12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O98" s="12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446000</v>
      </c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994000</v>
      </c>
      <c r="I102" s="270" t="s">
        <v>212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1450000</v>
      </c>
      <c r="I104" s="270">
        <f>H104*0.075</f>
        <v>108750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15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5" ht="35" x14ac:dyDescent="0.35">
      <c r="B108" s="270"/>
      <c r="C108" s="270"/>
      <c r="D108" s="273"/>
      <c r="E108" s="270"/>
      <c r="F108" s="271"/>
      <c r="G108" s="271"/>
      <c r="H108" s="271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1990-FA5C-2F4F-A622-F1F44BF902C5}">
  <dimension ref="B1:AI137"/>
  <sheetViews>
    <sheetView showGridLines="0" topLeftCell="A45" zoomScale="40" zoomScaleNormal="40" workbookViewId="0">
      <selection activeCell="M67" sqref="M67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51.33203125" style="18" customWidth="1"/>
    <col min="14" max="14" width="14.1640625" style="18" customWidth="1"/>
    <col min="15" max="15" width="37.332031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13151.666666666668</v>
      </c>
      <c r="I5" s="377">
        <f>H5*12</f>
        <v>157820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7040000</v>
      </c>
      <c r="T7" s="252"/>
      <c r="U7" s="252">
        <f>SUM(E41:E43)</f>
        <v>497022</v>
      </c>
      <c r="V7" s="252">
        <f>$E$38</f>
        <v>38506</v>
      </c>
      <c r="W7" s="252">
        <f>$I$57</f>
        <v>3734000</v>
      </c>
      <c r="X7" s="252">
        <f>T7</f>
        <v>0</v>
      </c>
      <c r="Y7" s="252">
        <f t="shared" ref="Y7:Y66" si="1">SUM(S7:V7)-W7</f>
        <v>3841528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7081066.666666667</v>
      </c>
      <c r="T8" s="252"/>
      <c r="U8" s="254">
        <f>($V$2/12+1)*U7+$V$3</f>
        <v>511163.85</v>
      </c>
      <c r="V8" s="254">
        <f>V7+$I$65</f>
        <v>46089.233569767959</v>
      </c>
      <c r="W8" s="252">
        <f>W7+X7</f>
        <v>3734000</v>
      </c>
      <c r="X8" s="252">
        <f t="shared" ref="X8:X66" si="2">T8</f>
        <v>0</v>
      </c>
      <c r="Y8" s="252">
        <f t="shared" si="1"/>
        <v>3904319.7502364349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7122372.888888889</v>
      </c>
      <c r="T9" s="252"/>
      <c r="U9" s="254">
        <f t="shared" ref="U9:U66" si="4">($V$2/12+1)*U8+$V$3</f>
        <v>525423.54874999996</v>
      </c>
      <c r="V9" s="254">
        <f t="shared" ref="V9:V66" si="5">V8+$I$65</f>
        <v>53672.467139535918</v>
      </c>
      <c r="W9" s="252">
        <f t="shared" ref="W9:W66" si="6">W8+X8</f>
        <v>3734000</v>
      </c>
      <c r="X9" s="252">
        <f t="shared" si="2"/>
        <v>0</v>
      </c>
      <c r="Y9" s="252">
        <f t="shared" si="1"/>
        <v>3967468.9047784247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7163920.0640740739</v>
      </c>
      <c r="T10" s="252"/>
      <c r="U10" s="254">
        <f t="shared" si="4"/>
        <v>539802.07832291664</v>
      </c>
      <c r="V10" s="254">
        <f t="shared" si="5"/>
        <v>61255.700709303877</v>
      </c>
      <c r="W10" s="252">
        <f t="shared" si="6"/>
        <v>3734000</v>
      </c>
      <c r="X10" s="252">
        <f t="shared" si="2"/>
        <v>0</v>
      </c>
      <c r="Y10" s="252">
        <f t="shared" si="1"/>
        <v>4030977.8431062941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7205709.597781173</v>
      </c>
      <c r="T11" s="252"/>
      <c r="U11" s="254">
        <f t="shared" si="4"/>
        <v>554300.42897560762</v>
      </c>
      <c r="V11" s="254">
        <f t="shared" si="5"/>
        <v>68838.934279071836</v>
      </c>
      <c r="W11" s="252">
        <f t="shared" si="6"/>
        <v>3734000</v>
      </c>
      <c r="X11" s="252">
        <f t="shared" si="2"/>
        <v>0</v>
      </c>
      <c r="Y11" s="252">
        <f t="shared" si="1"/>
        <v>4094848.9610358523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7247742.9037682302</v>
      </c>
      <c r="T12" s="252"/>
      <c r="U12" s="254">
        <f t="shared" si="4"/>
        <v>568919.59921707097</v>
      </c>
      <c r="V12" s="254">
        <f t="shared" si="5"/>
        <v>76422.167848839803</v>
      </c>
      <c r="W12" s="252">
        <f t="shared" si="6"/>
        <v>3734000</v>
      </c>
      <c r="X12" s="252">
        <f t="shared" si="2"/>
        <v>0</v>
      </c>
      <c r="Y12" s="252">
        <f t="shared" si="1"/>
        <v>4159084.6708341409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7290021.4040402118</v>
      </c>
      <c r="T13" s="252"/>
      <c r="U13" s="254">
        <f t="shared" si="4"/>
        <v>583660.59587721317</v>
      </c>
      <c r="V13" s="254">
        <f t="shared" si="5"/>
        <v>84005.401418607769</v>
      </c>
      <c r="W13" s="252">
        <f t="shared" si="6"/>
        <v>3734000</v>
      </c>
      <c r="X13" s="252">
        <f t="shared" si="2"/>
        <v>0</v>
      </c>
      <c r="Y13" s="252">
        <f t="shared" si="1"/>
        <v>4223687.4013360329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36400</v>
      </c>
      <c r="D14" s="378">
        <f>M14*52/12</f>
        <v>3033.3333333333335</v>
      </c>
      <c r="E14" s="392">
        <f>SUM(D14-D23)</f>
        <v>-22.993333333333339</v>
      </c>
      <c r="F14" s="391"/>
      <c r="G14" s="544" t="s">
        <v>68</v>
      </c>
      <c r="H14" s="539">
        <f>C14/E49</f>
        <v>3.2500000000000001E-2</v>
      </c>
      <c r="I14" s="542">
        <f>(D14-M29)/E49*12</f>
        <v>2.5993642857142861E-2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7332546.5288971132</v>
      </c>
      <c r="T14" s="252"/>
      <c r="U14" s="254">
        <f t="shared" si="4"/>
        <v>598524.43417618994</v>
      </c>
      <c r="V14" s="254">
        <f t="shared" si="5"/>
        <v>91588.634988375736</v>
      </c>
      <c r="W14" s="252">
        <f t="shared" si="6"/>
        <v>3734000</v>
      </c>
      <c r="X14" s="252">
        <f t="shared" si="2"/>
        <v>0</v>
      </c>
      <c r="Y14" s="252">
        <f t="shared" si="1"/>
        <v>4288659.5980616789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39260</v>
      </c>
      <c r="D15" s="378">
        <f>M15*52/12</f>
        <v>3271.6666666666665</v>
      </c>
      <c r="E15" s="392">
        <f>SUM(D15-D24)</f>
        <v>1334.833333333333</v>
      </c>
      <c r="F15" s="391"/>
      <c r="G15" s="544" t="s">
        <v>69</v>
      </c>
      <c r="H15" s="539">
        <f>C15/E50</f>
        <v>6.7689655172413793E-2</v>
      </c>
      <c r="I15" s="542">
        <f>(D15-M30)/E50*12</f>
        <v>5.037931034482758E-2</v>
      </c>
      <c r="K15" s="205"/>
      <c r="L15" s="212" t="s">
        <v>221</v>
      </c>
      <c r="M15" s="223">
        <v>755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7375319.716982347</v>
      </c>
      <c r="T15" s="252"/>
      <c r="U15" s="254">
        <f t="shared" si="4"/>
        <v>613512.1377943249</v>
      </c>
      <c r="V15" s="254">
        <f t="shared" si="5"/>
        <v>99171.868558143702</v>
      </c>
      <c r="W15" s="252">
        <f t="shared" si="6"/>
        <v>3734000</v>
      </c>
      <c r="X15" s="252">
        <f t="shared" si="2"/>
        <v>0</v>
      </c>
      <c r="Y15" s="252">
        <f t="shared" si="1"/>
        <v>4354003.7233348154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4.6864197530864196E-2</v>
      </c>
      <c r="I16" s="542">
        <f>(D16-M31)/E51*12</f>
        <v>3.4673481481481486E-2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7418342.4153314112</v>
      </c>
      <c r="T16" s="252"/>
      <c r="U16" s="254">
        <f t="shared" si="4"/>
        <v>628624.73894261091</v>
      </c>
      <c r="V16" s="254">
        <f t="shared" si="5"/>
        <v>106755.10212791167</v>
      </c>
      <c r="W16" s="252">
        <f t="shared" si="6"/>
        <v>3734000</v>
      </c>
      <c r="X16" s="252">
        <f t="shared" si="2"/>
        <v>0</v>
      </c>
      <c r="Y16" s="252">
        <f t="shared" si="1"/>
        <v>4419722.2564019337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5.1395348837209302E-2</v>
      </c>
      <c r="I17" s="542">
        <f>(D17-M32)/E52*12</f>
        <v>3.9381302325581395E-2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7461616.079420845</v>
      </c>
      <c r="T17" s="252">
        <f>$V$4</f>
        <v>2000000</v>
      </c>
      <c r="U17" s="254">
        <f t="shared" si="4"/>
        <v>643863.27843379928</v>
      </c>
      <c r="V17" s="254">
        <f t="shared" si="5"/>
        <v>114338.33569767963</v>
      </c>
      <c r="W17" s="252">
        <f t="shared" si="6"/>
        <v>3734000</v>
      </c>
      <c r="X17" s="252">
        <f t="shared" si="2"/>
        <v>2000000</v>
      </c>
      <c r="Y17" s="252">
        <f t="shared" si="1"/>
        <v>6485817.6935523245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 t="str">
        <f>IF(SUM(D18-D27)&gt;=0, SUM(D18-D27), "")</f>
        <v/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9505142.173217468</v>
      </c>
      <c r="T18" s="252"/>
      <c r="U18" s="254">
        <f t="shared" si="4"/>
        <v>659228.80575408088</v>
      </c>
      <c r="V18" s="254">
        <f t="shared" si="5"/>
        <v>121921.5692674476</v>
      </c>
      <c r="W18" s="252">
        <f t="shared" si="6"/>
        <v>5734000</v>
      </c>
      <c r="X18" s="252">
        <f t="shared" si="2"/>
        <v>0</v>
      </c>
      <c r="Y18" s="252">
        <f t="shared" si="1"/>
        <v>4552292.5482389964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12267.199999999997</v>
      </c>
      <c r="D19" s="535">
        <f>C19/12</f>
        <v>1022.2666666666664</v>
      </c>
      <c r="E19" s="534">
        <f>SUM(E14:E18)</f>
        <v>-1197.8399999999997</v>
      </c>
      <c r="F19" s="391"/>
      <c r="G19" s="547" t="s">
        <v>56</v>
      </c>
      <c r="H19" s="548" t="s">
        <v>57</v>
      </c>
      <c r="I19" s="549">
        <f>SUM(D6:D18)</f>
        <v>35151.666666666664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9560588.8358945698</v>
      </c>
      <c r="T19" s="252"/>
      <c r="U19" s="254">
        <f t="shared" si="4"/>
        <v>674722.3791353649</v>
      </c>
      <c r="V19" s="254">
        <f t="shared" si="5"/>
        <v>129504.80283721557</v>
      </c>
      <c r="W19" s="252">
        <f t="shared" si="6"/>
        <v>5734000</v>
      </c>
      <c r="X19" s="252">
        <f t="shared" si="2"/>
        <v>0</v>
      </c>
      <c r="Y19" s="252">
        <f t="shared" si="1"/>
        <v>4630816.0178671498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9616358.9374372885</v>
      </c>
      <c r="T20" s="252"/>
      <c r="U20" s="254">
        <f t="shared" si="4"/>
        <v>690345.06562815956</v>
      </c>
      <c r="V20" s="254">
        <f t="shared" si="5"/>
        <v>137088.03640698353</v>
      </c>
      <c r="W20" s="252">
        <f t="shared" si="6"/>
        <v>5734000</v>
      </c>
      <c r="X20" s="252">
        <f t="shared" si="2"/>
        <v>0</v>
      </c>
      <c r="Y20" s="252">
        <f t="shared" si="1"/>
        <v>4709792.0394724309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9672454.3645723388</v>
      </c>
      <c r="T21" s="252"/>
      <c r="U21" s="254">
        <f t="shared" si="4"/>
        <v>706097.94117506081</v>
      </c>
      <c r="V21" s="254">
        <f t="shared" si="5"/>
        <v>144671.2699767515</v>
      </c>
      <c r="W21" s="252">
        <f t="shared" si="6"/>
        <v>5734000</v>
      </c>
      <c r="X21" s="252">
        <f t="shared" si="2"/>
        <v>0</v>
      </c>
      <c r="Y21" s="252">
        <f t="shared" si="1"/>
        <v>4789223.575724151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59091.887162784449</v>
      </c>
      <c r="D22" s="409">
        <f>PMT(M22/12,30*12,-(M75-M57))</f>
        <v>4924.3239302320371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9728877.0150323436</v>
      </c>
      <c r="T22" s="252"/>
      <c r="U22" s="254">
        <f t="shared" si="4"/>
        <v>721982.09068485291</v>
      </c>
      <c r="V22" s="254">
        <f t="shared" si="5"/>
        <v>152254.50354651947</v>
      </c>
      <c r="W22" s="252">
        <f t="shared" si="6"/>
        <v>5734000</v>
      </c>
      <c r="X22" s="252">
        <f t="shared" si="2"/>
        <v>0</v>
      </c>
      <c r="Y22" s="252">
        <f t="shared" si="1"/>
        <v>4869113.6092637163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9785628.797620032</v>
      </c>
      <c r="T23" s="252"/>
      <c r="U23" s="254">
        <f t="shared" si="4"/>
        <v>737998.60810722667</v>
      </c>
      <c r="V23" s="254">
        <f t="shared" si="5"/>
        <v>159837.73711628743</v>
      </c>
      <c r="W23" s="252">
        <f t="shared" si="6"/>
        <v>5734000</v>
      </c>
      <c r="X23" s="252">
        <f t="shared" si="2"/>
        <v>0</v>
      </c>
      <c r="Y23" s="252">
        <f t="shared" si="1"/>
        <v>4949465.1428435445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23242</v>
      </c>
      <c r="D24" s="409">
        <f>M24*I50/12+(M30)</f>
        <v>1936.8333333333335</v>
      </c>
      <c r="E24" s="411"/>
      <c r="F24" s="412"/>
      <c r="G24" s="413" t="s">
        <v>86</v>
      </c>
      <c r="H24" s="376">
        <f>I19-I32</f>
        <v>7583.2335697679591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9842711.6322728153</v>
      </c>
      <c r="T24" s="252"/>
      <c r="U24" s="254">
        <f t="shared" si="4"/>
        <v>754148.59650812019</v>
      </c>
      <c r="V24" s="254">
        <f t="shared" si="5"/>
        <v>167420.9706860554</v>
      </c>
      <c r="W24" s="252">
        <f t="shared" si="6"/>
        <v>5734000</v>
      </c>
      <c r="X24" s="252">
        <f t="shared" si="2"/>
        <v>0</v>
      </c>
      <c r="Y24" s="252">
        <f t="shared" si="1"/>
        <v>5030281.1994669922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9900127.4501277395</v>
      </c>
      <c r="T25" s="252"/>
      <c r="U25" s="254">
        <f t="shared" si="4"/>
        <v>770433.16814568778</v>
      </c>
      <c r="V25" s="254">
        <f t="shared" si="5"/>
        <v>175004.20425582337</v>
      </c>
      <c r="W25" s="252">
        <f t="shared" si="6"/>
        <v>5734000</v>
      </c>
      <c r="X25" s="252">
        <f t="shared" si="2"/>
        <v>0</v>
      </c>
      <c r="Y25" s="252">
        <f t="shared" si="1"/>
        <v>5111564.8225292508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9957878.1935868189</v>
      </c>
      <c r="T26" s="252"/>
      <c r="U26" s="254">
        <f t="shared" si="4"/>
        <v>786853.44454690185</v>
      </c>
      <c r="V26" s="254">
        <f t="shared" si="5"/>
        <v>182587.43782559133</v>
      </c>
      <c r="W26" s="252">
        <f t="shared" si="6"/>
        <v>5734000</v>
      </c>
      <c r="X26" s="252">
        <f t="shared" si="2"/>
        <v>0</v>
      </c>
      <c r="Y26" s="252">
        <f t="shared" si="1"/>
        <v>5193319.0759593137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11480</v>
      </c>
      <c r="D27" s="409">
        <f>M27*I53/12</f>
        <v>956.66666666666663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10015965.816382742</v>
      </c>
      <c r="T27" s="252"/>
      <c r="U27" s="254">
        <f t="shared" si="4"/>
        <v>803410.55658479268</v>
      </c>
      <c r="V27" s="254">
        <f t="shared" si="5"/>
        <v>190170.6713953593</v>
      </c>
      <c r="W27" s="252">
        <f t="shared" si="6"/>
        <v>5734000</v>
      </c>
      <c r="X27" s="252">
        <f t="shared" si="2"/>
        <v>0</v>
      </c>
      <c r="Y27" s="252">
        <f t="shared" si="1"/>
        <v>5275547.0443628933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10074392.283644974</v>
      </c>
      <c r="T28" s="252">
        <f>$V$4</f>
        <v>2000000</v>
      </c>
      <c r="U28" s="254">
        <f t="shared" si="4"/>
        <v>820105.64455633261</v>
      </c>
      <c r="V28" s="254">
        <f t="shared" si="5"/>
        <v>197753.90496512727</v>
      </c>
      <c r="W28" s="252">
        <f t="shared" si="6"/>
        <v>5734000</v>
      </c>
      <c r="X28" s="252">
        <f t="shared" si="2"/>
        <v>2000000</v>
      </c>
      <c r="Y28" s="252">
        <f t="shared" si="1"/>
        <v>7358251.8331664335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12133159.571966236</v>
      </c>
      <c r="T29" s="252"/>
      <c r="U29" s="254">
        <f t="shared" si="4"/>
        <v>836939.8582609687</v>
      </c>
      <c r="V29" s="254">
        <f t="shared" si="5"/>
        <v>205337.13853489523</v>
      </c>
      <c r="W29" s="252">
        <f t="shared" si="6"/>
        <v>7734000</v>
      </c>
      <c r="X29" s="252">
        <f t="shared" si="2"/>
        <v>0</v>
      </c>
      <c r="Y29" s="252">
        <f t="shared" si="1"/>
        <v>5441436.5687621012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12203936.336136039</v>
      </c>
      <c r="T30" s="252"/>
      <c r="U30" s="254">
        <f t="shared" si="4"/>
        <v>853914.35707981011</v>
      </c>
      <c r="V30" s="254">
        <f t="shared" si="5"/>
        <v>212920.3721046632</v>
      </c>
      <c r="W30" s="252">
        <f t="shared" si="6"/>
        <v>7734000</v>
      </c>
      <c r="X30" s="252">
        <f t="shared" si="2"/>
        <v>0</v>
      </c>
      <c r="Y30" s="252">
        <f t="shared" si="1"/>
        <v>5536771.0653205123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12275125.9647635</v>
      </c>
      <c r="T31" s="252"/>
      <c r="U31" s="254">
        <f t="shared" si="4"/>
        <v>871030.31005547522</v>
      </c>
      <c r="V31" s="254">
        <f t="shared" si="5"/>
        <v>220503.60567443116</v>
      </c>
      <c r="W31" s="252">
        <f t="shared" si="6"/>
        <v>7734000</v>
      </c>
      <c r="X31" s="252">
        <f t="shared" si="2"/>
        <v>0</v>
      </c>
      <c r="Y31" s="252">
        <f t="shared" si="1"/>
        <v>5632659.8804934062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27568.433096898705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12346730.86622462</v>
      </c>
      <c r="T32" s="252"/>
      <c r="U32" s="254">
        <f t="shared" si="4"/>
        <v>888288.89597260416</v>
      </c>
      <c r="V32" s="254">
        <f t="shared" si="5"/>
        <v>228086.83924419913</v>
      </c>
      <c r="W32" s="252">
        <f t="shared" si="6"/>
        <v>7734000</v>
      </c>
      <c r="X32" s="252">
        <f t="shared" si="2"/>
        <v>0</v>
      </c>
      <c r="Y32" s="252">
        <f t="shared" si="1"/>
        <v>5729106.6014414243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12418753.462944264</v>
      </c>
      <c r="T33" s="252"/>
      <c r="U33" s="254">
        <f t="shared" si="4"/>
        <v>905691.30343904253</v>
      </c>
      <c r="V33" s="254">
        <f t="shared" si="5"/>
        <v>235670.0728139671</v>
      </c>
      <c r="W33" s="252">
        <f t="shared" si="6"/>
        <v>7734000</v>
      </c>
      <c r="X33" s="252">
        <f t="shared" si="2"/>
        <v>0</v>
      </c>
      <c r="Y33" s="252">
        <f t="shared" si="1"/>
        <v>5826114.8391972724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12491196.191478105</v>
      </c>
      <c r="T34" s="252"/>
      <c r="U34" s="254">
        <f t="shared" si="4"/>
        <v>923238.73096770118</v>
      </c>
      <c r="V34" s="254">
        <f t="shared" si="5"/>
        <v>243253.30638373506</v>
      </c>
      <c r="W34" s="252">
        <f t="shared" si="6"/>
        <v>7734000</v>
      </c>
      <c r="X34" s="252">
        <f t="shared" si="2"/>
        <v>0</v>
      </c>
      <c r="Y34" s="252">
        <f t="shared" si="1"/>
        <v>5923688.2288295403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12564061.502595061</v>
      </c>
      <c r="T35" s="252"/>
      <c r="U35" s="254">
        <f t="shared" si="4"/>
        <v>940932.38705909869</v>
      </c>
      <c r="V35" s="254">
        <f t="shared" si="5"/>
        <v>250836.53995350303</v>
      </c>
      <c r="W35" s="252">
        <f t="shared" si="6"/>
        <v>7734000</v>
      </c>
      <c r="X35" s="252">
        <f t="shared" si="2"/>
        <v>0</v>
      </c>
      <c r="Y35" s="252">
        <f t="shared" si="1"/>
        <v>6021830.4296076633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12637351.8613602</v>
      </c>
      <c r="T36" s="252"/>
      <c r="U36" s="254">
        <f t="shared" si="4"/>
        <v>958773.4902845911</v>
      </c>
      <c r="V36" s="254">
        <f t="shared" si="5"/>
        <v>258419.773523271</v>
      </c>
      <c r="W36" s="252">
        <f t="shared" si="6"/>
        <v>7734000</v>
      </c>
      <c r="X36" s="252">
        <f t="shared" si="2"/>
        <v>0</v>
      </c>
      <c r="Y36" s="252">
        <f t="shared" si="1"/>
        <v>6120545.1251680627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12711069.747218134</v>
      </c>
      <c r="T37" s="252"/>
      <c r="U37" s="254">
        <f t="shared" si="4"/>
        <v>976763.26937029604</v>
      </c>
      <c r="V37" s="254">
        <f t="shared" si="5"/>
        <v>266003.00709303893</v>
      </c>
      <c r="W37" s="252">
        <f t="shared" si="6"/>
        <v>7734000</v>
      </c>
      <c r="X37" s="252">
        <f t="shared" si="2"/>
        <v>0</v>
      </c>
      <c r="Y37" s="252">
        <f t="shared" si="1"/>
        <v>6219836.0236814693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 t="shared" ref="E38:E43" si="9">M52</f>
        <v>38506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12785217.654076906</v>
      </c>
      <c r="T38" s="252"/>
      <c r="U38" s="254">
        <f t="shared" si="4"/>
        <v>994902.96328171517</v>
      </c>
      <c r="V38" s="254">
        <f t="shared" si="5"/>
        <v>273586.2406628069</v>
      </c>
      <c r="W38" s="252">
        <f t="shared" si="6"/>
        <v>7734000</v>
      </c>
      <c r="X38" s="252">
        <f t="shared" si="2"/>
        <v>0</v>
      </c>
      <c r="Y38" s="252">
        <f t="shared" si="1"/>
        <v>6319706.8580214288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 t="shared" si="9"/>
        <v>11800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12859798.090392355</v>
      </c>
      <c r="T39" s="252"/>
      <c r="U39" s="254">
        <f t="shared" si="4"/>
        <v>1013193.8213090628</v>
      </c>
      <c r="V39" s="254">
        <f t="shared" si="5"/>
        <v>281169.47423257487</v>
      </c>
      <c r="W39" s="252">
        <f t="shared" si="6"/>
        <v>7734000</v>
      </c>
      <c r="X39" s="252">
        <f t="shared" si="2"/>
        <v>0</v>
      </c>
      <c r="Y39" s="252">
        <f t="shared" si="1"/>
        <v>6420161.3859339934</v>
      </c>
      <c r="Z39" s="255"/>
      <c r="AA39" s="255"/>
      <c r="AB39" s="255"/>
      <c r="AC39" s="255"/>
    </row>
    <row r="40" spans="2:29" ht="45" x14ac:dyDescent="0.45">
      <c r="B40" s="406" t="s">
        <v>346</v>
      </c>
      <c r="C40" s="201"/>
      <c r="D40" s="366"/>
      <c r="E40" s="433">
        <f t="shared" si="9"/>
        <v>77700</v>
      </c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12934813.579252977</v>
      </c>
      <c r="T40" s="252">
        <f>$V$4</f>
        <v>2000000</v>
      </c>
      <c r="U40" s="254">
        <f t="shared" si="4"/>
        <v>1031637.1031533049</v>
      </c>
      <c r="V40" s="254">
        <f t="shared" si="5"/>
        <v>288752.70780234283</v>
      </c>
      <c r="W40" s="252">
        <f t="shared" si="6"/>
        <v>7734000</v>
      </c>
      <c r="X40" s="252">
        <f t="shared" si="2"/>
        <v>2000000</v>
      </c>
      <c r="Y40" s="252">
        <f t="shared" si="1"/>
        <v>8521203.3902086243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 t="shared" si="9"/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15010266.658465287</v>
      </c>
      <c r="T41" s="252"/>
      <c r="U41" s="254">
        <f t="shared" si="4"/>
        <v>1050234.0790129157</v>
      </c>
      <c r="V41" s="254">
        <f t="shared" si="5"/>
        <v>296335.9413721108</v>
      </c>
      <c r="W41" s="252">
        <f t="shared" si="6"/>
        <v>9734000</v>
      </c>
      <c r="X41" s="252">
        <f t="shared" si="2"/>
        <v>0</v>
      </c>
      <c r="Y41" s="252">
        <f t="shared" si="1"/>
        <v>6622836.6788503136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 t="shared" si="9"/>
        <v>196022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15097826.547306335</v>
      </c>
      <c r="T42" s="252"/>
      <c r="U42" s="254">
        <f t="shared" si="4"/>
        <v>1068986.0296713565</v>
      </c>
      <c r="V42" s="254">
        <f t="shared" si="5"/>
        <v>303919.17494187877</v>
      </c>
      <c r="W42" s="252">
        <f t="shared" si="6"/>
        <v>9734000</v>
      </c>
      <c r="X42" s="252">
        <f t="shared" si="2"/>
        <v>0</v>
      </c>
      <c r="Y42" s="252">
        <f t="shared" si="1"/>
        <v>6736731.7519195694</v>
      </c>
      <c r="Z42" s="255"/>
      <c r="AA42" s="255"/>
      <c r="AB42" s="255"/>
      <c r="AC42" s="255"/>
    </row>
    <row r="43" spans="2:29" ht="45" x14ac:dyDescent="0.45">
      <c r="B43" s="406" t="str">
        <f>L57</f>
        <v>Mortgage Redraw</v>
      </c>
      <c r="C43" s="201"/>
      <c r="D43" s="366"/>
      <c r="E43" s="433">
        <f t="shared" si="9"/>
        <v>301000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15185897.202165622</v>
      </c>
      <c r="T43" s="252"/>
      <c r="U43" s="254">
        <f t="shared" si="4"/>
        <v>1087894.2465852846</v>
      </c>
      <c r="V43" s="254">
        <f t="shared" si="5"/>
        <v>311502.40851164673</v>
      </c>
      <c r="W43" s="252">
        <f t="shared" si="6"/>
        <v>9734000</v>
      </c>
      <c r="X43" s="252">
        <f t="shared" si="2"/>
        <v>0</v>
      </c>
      <c r="Y43" s="252">
        <f t="shared" si="1"/>
        <v>6851293.8572625536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15274481.602511588</v>
      </c>
      <c r="T44" s="252"/>
      <c r="U44" s="254">
        <f t="shared" si="4"/>
        <v>1106960.0319734954</v>
      </c>
      <c r="V44" s="254">
        <f t="shared" si="5"/>
        <v>319085.6420814147</v>
      </c>
      <c r="W44" s="252">
        <f t="shared" si="6"/>
        <v>9734000</v>
      </c>
      <c r="X44" s="252">
        <f t="shared" si="2"/>
        <v>0</v>
      </c>
      <c r="Y44" s="252">
        <f t="shared" si="1"/>
        <v>6966527.2765664998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15363582.745192906</v>
      </c>
      <c r="T45" s="252"/>
      <c r="U45" s="254">
        <f t="shared" si="4"/>
        <v>1126184.6989066079</v>
      </c>
      <c r="V45" s="254">
        <f t="shared" si="5"/>
        <v>326668.87565118267</v>
      </c>
      <c r="W45" s="252">
        <f t="shared" si="6"/>
        <v>9734000</v>
      </c>
      <c r="X45" s="252">
        <f t="shared" si="2"/>
        <v>0</v>
      </c>
      <c r="Y45" s="252">
        <f t="shared" si="1"/>
        <v>7082436.3197506964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15453203.644539865</v>
      </c>
      <c r="T46" s="252"/>
      <c r="U46" s="254">
        <f t="shared" si="4"/>
        <v>1145569.5713974964</v>
      </c>
      <c r="V46" s="254">
        <f t="shared" si="5"/>
        <v>334252.10922095063</v>
      </c>
      <c r="W46" s="252">
        <f t="shared" si="6"/>
        <v>9734000</v>
      </c>
      <c r="X46" s="252">
        <f t="shared" si="2"/>
        <v>0</v>
      </c>
      <c r="Y46" s="252">
        <f t="shared" si="1"/>
        <v>7199025.3251583129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15543347.332466347</v>
      </c>
      <c r="T47" s="252"/>
      <c r="U47" s="254">
        <f t="shared" si="4"/>
        <v>1165115.9844924754</v>
      </c>
      <c r="V47" s="254">
        <f t="shared" si="5"/>
        <v>341835.3427907186</v>
      </c>
      <c r="W47" s="252">
        <f t="shared" si="6"/>
        <v>9734000</v>
      </c>
      <c r="X47" s="252">
        <f t="shared" si="2"/>
        <v>0</v>
      </c>
      <c r="Y47" s="252">
        <f t="shared" si="1"/>
        <v>7316298.6597495414</v>
      </c>
      <c r="Z47" s="255"/>
      <c r="AA47" s="255"/>
      <c r="AB47" s="255"/>
      <c r="AC47" s="255"/>
    </row>
    <row r="48" spans="2:29" ht="46" thickBot="1" x14ac:dyDescent="0.5">
      <c r="B48" s="406" t="str">
        <f t="shared" ref="B48:B53" si="10">L62</f>
        <v>25 Jacaranda Ave, Kenmore Hills (HOME)</v>
      </c>
      <c r="C48" s="366"/>
      <c r="D48" s="438">
        <f t="shared" ref="D48:D53" si="11">E48-I48</f>
        <v>2494000</v>
      </c>
      <c r="E48" s="433">
        <f t="shared" ref="E48:E53" si="12">M62</f>
        <v>3670000</v>
      </c>
      <c r="F48" s="366"/>
      <c r="G48" s="365" t="str">
        <f>L75</f>
        <v>25 Jacaranda Ave, Kenmore Hills (HOME)</v>
      </c>
      <c r="H48" s="201"/>
      <c r="I48" s="434">
        <f>M75</f>
        <v>1176000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15634016.858572401</v>
      </c>
      <c r="T48" s="252"/>
      <c r="U48" s="254">
        <f t="shared" si="4"/>
        <v>1184825.2843632461</v>
      </c>
      <c r="V48" s="254">
        <f t="shared" si="5"/>
        <v>349418.57636048656</v>
      </c>
      <c r="W48" s="252">
        <f t="shared" si="6"/>
        <v>9734000</v>
      </c>
      <c r="X48" s="252">
        <f t="shared" si="2"/>
        <v>0</v>
      </c>
      <c r="Y48" s="252">
        <f t="shared" si="1"/>
        <v>7434260.719296135</v>
      </c>
      <c r="Z48" s="255"/>
      <c r="AA48" s="255"/>
      <c r="AB48" s="255"/>
      <c r="AC48" s="255"/>
    </row>
    <row r="49" spans="2:29" ht="45" x14ac:dyDescent="0.45">
      <c r="B49" s="406" t="str">
        <f t="shared" si="10"/>
        <v>Investment 1 - Forest Lake value</v>
      </c>
      <c r="C49" s="366"/>
      <c r="D49" s="438">
        <f t="shared" si="11"/>
        <v>608000</v>
      </c>
      <c r="E49" s="433">
        <f t="shared" si="12"/>
        <v>1120000</v>
      </c>
      <c r="F49" s="366"/>
      <c r="G49" s="406" t="str">
        <f>L77</f>
        <v>Investment 1 Forest Lake - Mortgage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15725215.290247407</v>
      </c>
      <c r="T49" s="252"/>
      <c r="U49" s="254">
        <f t="shared" si="4"/>
        <v>1204698.8283996065</v>
      </c>
      <c r="V49" s="254">
        <f t="shared" si="5"/>
        <v>357001.80993025453</v>
      </c>
      <c r="W49" s="252">
        <f t="shared" si="6"/>
        <v>9734000</v>
      </c>
      <c r="X49" s="252">
        <f t="shared" si="2"/>
        <v>0</v>
      </c>
      <c r="Y49" s="252">
        <f t="shared" si="1"/>
        <v>7552915.9285772666</v>
      </c>
      <c r="Z49" s="255"/>
      <c r="AA49" s="255"/>
      <c r="AB49" s="255"/>
      <c r="AC49" s="255"/>
    </row>
    <row r="50" spans="2:29" s="17" customFormat="1" ht="46" thickBot="1" x14ac:dyDescent="0.5">
      <c r="B50" s="406" t="str">
        <f t="shared" si="10"/>
        <v>Investment 2 - Strathpine value</v>
      </c>
      <c r="C50" s="366"/>
      <c r="D50" s="438">
        <f t="shared" si="11"/>
        <v>350000</v>
      </c>
      <c r="E50" s="433">
        <f t="shared" si="12"/>
        <v>580000</v>
      </c>
      <c r="F50" s="366"/>
      <c r="G50" s="406" t="str">
        <f>L78</f>
        <v>Investment 2 Strathpine - Mortgage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15816945.71277385</v>
      </c>
      <c r="T50" s="252"/>
      <c r="U50" s="254">
        <f t="shared" si="4"/>
        <v>1224737.9853029365</v>
      </c>
      <c r="V50" s="254">
        <f t="shared" si="5"/>
        <v>364585.0435000225</v>
      </c>
      <c r="W50" s="252">
        <f t="shared" si="6"/>
        <v>9734000</v>
      </c>
      <c r="X50" s="252">
        <f t="shared" si="2"/>
        <v>0</v>
      </c>
      <c r="Y50" s="252">
        <f t="shared" si="1"/>
        <v>7672268.7415768094</v>
      </c>
      <c r="Z50" s="255"/>
      <c r="AA50" s="256"/>
      <c r="AB50" s="256"/>
      <c r="AC50" s="256"/>
    </row>
    <row r="51" spans="2:29" s="17" customFormat="1" ht="45" x14ac:dyDescent="0.45">
      <c r="B51" s="406" t="str">
        <f t="shared" si="10"/>
        <v>Investment 3 - Mt Sheridan value</v>
      </c>
      <c r="C51" s="366"/>
      <c r="D51" s="438">
        <f t="shared" si="11"/>
        <v>30000</v>
      </c>
      <c r="E51" s="433">
        <f t="shared" si="12"/>
        <v>810000</v>
      </c>
      <c r="F51" s="366"/>
      <c r="G51" s="406" t="str">
        <f>L79</f>
        <v>Investment 3 Mt Sheridan - Mortgage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15909211.229431698</v>
      </c>
      <c r="T51" s="252"/>
      <c r="U51" s="254">
        <f t="shared" si="4"/>
        <v>1244944.135180461</v>
      </c>
      <c r="V51" s="254">
        <f t="shared" si="5"/>
        <v>372168.27706979046</v>
      </c>
      <c r="W51" s="252">
        <f t="shared" si="6"/>
        <v>9734000</v>
      </c>
      <c r="X51" s="252">
        <f t="shared" si="2"/>
        <v>0</v>
      </c>
      <c r="Y51" s="252">
        <f t="shared" si="1"/>
        <v>7792323.6416819505</v>
      </c>
      <c r="Z51" s="255"/>
      <c r="AA51" s="256"/>
      <c r="AB51" s="256"/>
      <c r="AC51" s="256"/>
    </row>
    <row r="52" spans="2:29" s="17" customFormat="1" ht="45" x14ac:dyDescent="0.45">
      <c r="B52" s="406" t="str">
        <f t="shared" si="10"/>
        <v>Investment 4 - Eimeo value</v>
      </c>
      <c r="C52" s="366"/>
      <c r="D52" s="438">
        <f t="shared" si="11"/>
        <v>36000</v>
      </c>
      <c r="E52" s="433">
        <f t="shared" si="12"/>
        <v>860000</v>
      </c>
      <c r="F52" s="366"/>
      <c r="G52" s="406" t="str">
        <f>L80</f>
        <v>Investment 4 Eimeo - Mortgage</v>
      </c>
      <c r="H52" s="201"/>
      <c r="I52" s="434">
        <f>M80</f>
        <v>824000</v>
      </c>
      <c r="J52" s="18"/>
      <c r="K52" s="205"/>
      <c r="L52" s="212" t="s">
        <v>77</v>
      </c>
      <c r="M52" s="223">
        <v>38506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16002014.961603383</v>
      </c>
      <c r="T52" s="252">
        <f>$V$4</f>
        <v>2000000</v>
      </c>
      <c r="U52" s="254">
        <f t="shared" si="4"/>
        <v>1265318.6696402982</v>
      </c>
      <c r="V52" s="254">
        <f t="shared" si="5"/>
        <v>379751.51063955843</v>
      </c>
      <c r="W52" s="252">
        <f t="shared" si="6"/>
        <v>9734000</v>
      </c>
      <c r="X52" s="252">
        <f t="shared" si="2"/>
        <v>2000000</v>
      </c>
      <c r="Y52" s="252">
        <f t="shared" si="1"/>
        <v>9913085.1418832392</v>
      </c>
      <c r="Z52" s="255"/>
      <c r="AA52" s="256"/>
      <c r="AB52" s="256"/>
      <c r="AC52" s="256"/>
    </row>
    <row r="53" spans="2:29" s="17" customFormat="1" ht="45" x14ac:dyDescent="0.45">
      <c r="B53" s="406" t="str">
        <f t="shared" si="10"/>
        <v>Stocks Value</v>
      </c>
      <c r="C53" s="366"/>
      <c r="D53" s="438">
        <f t="shared" si="11"/>
        <v>-200000</v>
      </c>
      <c r="E53" s="433">
        <f t="shared" si="12"/>
        <v>0</v>
      </c>
      <c r="F53" s="366"/>
      <c r="G53" s="406" t="str">
        <f>L81</f>
        <v>Stocks Loan</v>
      </c>
      <c r="H53" s="201"/>
      <c r="I53" s="434">
        <f>M81</f>
        <v>200000</v>
      </c>
      <c r="K53" s="206"/>
      <c r="L53" s="212" t="s">
        <v>344</v>
      </c>
      <c r="M53" s="223">
        <v>11800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18095360.048879404</v>
      </c>
      <c r="T53" s="252"/>
      <c r="U53" s="254">
        <f t="shared" si="4"/>
        <v>1285862.9918873007</v>
      </c>
      <c r="V53" s="254">
        <f t="shared" si="5"/>
        <v>387334.7442093264</v>
      </c>
      <c r="W53" s="252">
        <f t="shared" si="6"/>
        <v>11734000</v>
      </c>
      <c r="X53" s="252">
        <f t="shared" si="2"/>
        <v>0</v>
      </c>
      <c r="Y53" s="252">
        <f t="shared" si="1"/>
        <v>8034557.7849760316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 t="s">
        <v>345</v>
      </c>
      <c r="M54" s="223">
        <v>77700</v>
      </c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18200916.315831199</v>
      </c>
      <c r="T54" s="252"/>
      <c r="U54" s="254">
        <f t="shared" si="4"/>
        <v>1306578.5168196948</v>
      </c>
      <c r="V54" s="254">
        <f t="shared" si="5"/>
        <v>394917.97777909436</v>
      </c>
      <c r="W54" s="252">
        <f t="shared" si="6"/>
        <v>11734000</v>
      </c>
      <c r="X54" s="252">
        <f t="shared" si="2"/>
        <v>0</v>
      </c>
      <c r="Y54" s="252">
        <f t="shared" si="1"/>
        <v>8168412.8104299866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18307088.327673547</v>
      </c>
      <c r="T55" s="252"/>
      <c r="U55" s="254">
        <f t="shared" si="4"/>
        <v>1327466.6711265256</v>
      </c>
      <c r="V55" s="254">
        <f t="shared" si="5"/>
        <v>402501.21134886233</v>
      </c>
      <c r="W55" s="252">
        <f t="shared" si="6"/>
        <v>11734000</v>
      </c>
      <c r="X55" s="252">
        <f t="shared" si="2"/>
        <v>0</v>
      </c>
      <c r="Y55" s="252">
        <f t="shared" si="1"/>
        <v>8303056.2101489343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8085028</v>
      </c>
      <c r="F56" s="366"/>
      <c r="G56" s="441"/>
      <c r="H56" s="420"/>
      <c r="I56" s="442"/>
      <c r="J56" s="18"/>
      <c r="K56" s="205"/>
      <c r="L56" s="212" t="s">
        <v>80</v>
      </c>
      <c r="M56" s="223">
        <v>196022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18413879.676251642</v>
      </c>
      <c r="T56" s="252"/>
      <c r="U56" s="254">
        <f t="shared" si="4"/>
        <v>1348528.8933859132</v>
      </c>
      <c r="V56" s="254">
        <f t="shared" si="5"/>
        <v>410084.4449186303</v>
      </c>
      <c r="W56" s="252">
        <f t="shared" si="6"/>
        <v>11734000</v>
      </c>
      <c r="X56" s="252">
        <f t="shared" si="2"/>
        <v>0</v>
      </c>
      <c r="Y56" s="252">
        <f t="shared" si="1"/>
        <v>8438493.0145561844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7665028</v>
      </c>
      <c r="F57" s="416"/>
      <c r="G57" s="553" t="s">
        <v>59</v>
      </c>
      <c r="H57" s="554"/>
      <c r="I57" s="555">
        <f>SUM(I38:I56)</f>
        <v>3734000</v>
      </c>
      <c r="K57" s="205"/>
      <c r="L57" s="212" t="s">
        <v>341</v>
      </c>
      <c r="M57" s="223">
        <v>301000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18521293.974363111</v>
      </c>
      <c r="T57" s="252"/>
      <c r="U57" s="254">
        <f t="shared" si="4"/>
        <v>1369766.6341641292</v>
      </c>
      <c r="V57" s="254">
        <f t="shared" si="5"/>
        <v>417667.67848839826</v>
      </c>
      <c r="W57" s="252">
        <f t="shared" si="6"/>
        <v>11734000</v>
      </c>
      <c r="X57" s="252">
        <f t="shared" si="2"/>
        <v>0</v>
      </c>
      <c r="Y57" s="252">
        <f t="shared" si="1"/>
        <v>8574728.2870156392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18629334.855880231</v>
      </c>
      <c r="T58" s="252"/>
      <c r="U58" s="254">
        <f t="shared" si="4"/>
        <v>1391181.356115497</v>
      </c>
      <c r="V58" s="254">
        <f t="shared" si="5"/>
        <v>425250.91205816623</v>
      </c>
      <c r="W58" s="252">
        <f t="shared" si="6"/>
        <v>11734000</v>
      </c>
      <c r="X58" s="252">
        <f t="shared" si="2"/>
        <v>0</v>
      </c>
      <c r="Y58" s="252">
        <f t="shared" si="1"/>
        <v>8711767.1240538955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18738005.975872867</v>
      </c>
      <c r="T59" s="252"/>
      <c r="U59" s="254">
        <f t="shared" si="4"/>
        <v>1412774.5340831261</v>
      </c>
      <c r="V59" s="254">
        <f t="shared" si="5"/>
        <v>432834.14562793419</v>
      </c>
      <c r="W59" s="252">
        <f t="shared" si="6"/>
        <v>11734000</v>
      </c>
      <c r="X59" s="252">
        <f t="shared" si="2"/>
        <v>0</v>
      </c>
      <c r="Y59" s="252">
        <f t="shared" si="1"/>
        <v>8849614.6555839293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18847311.010732125</v>
      </c>
      <c r="T60" s="252"/>
      <c r="U60" s="254">
        <f t="shared" si="4"/>
        <v>1434547.6552004854</v>
      </c>
      <c r="V60" s="254">
        <f t="shared" si="5"/>
        <v>440417.37919770216</v>
      </c>
      <c r="W60" s="252">
        <f t="shared" si="6"/>
        <v>11734000</v>
      </c>
      <c r="X60" s="252">
        <f t="shared" si="2"/>
        <v>0</v>
      </c>
      <c r="Y60" s="252">
        <f t="shared" si="1"/>
        <v>8988276.0451303124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18957253.65829473</v>
      </c>
      <c r="T61" s="252"/>
      <c r="U61" s="254">
        <f t="shared" si="4"/>
        <v>1456502.2189938228</v>
      </c>
      <c r="V61" s="254">
        <f t="shared" si="5"/>
        <v>448000.61276747013</v>
      </c>
      <c r="W61" s="252">
        <f t="shared" si="6"/>
        <v>11734000</v>
      </c>
      <c r="X61" s="252">
        <f t="shared" si="2"/>
        <v>0</v>
      </c>
      <c r="Y61" s="252">
        <f t="shared" si="1"/>
        <v>9127756.490056023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3670000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19067837.637968116</v>
      </c>
      <c r="T62" s="252"/>
      <c r="U62" s="254">
        <f t="shared" si="4"/>
        <v>1478639.7374854379</v>
      </c>
      <c r="V62" s="254">
        <f t="shared" si="5"/>
        <v>455583.84633723809</v>
      </c>
      <c r="W62" s="252">
        <f t="shared" si="6"/>
        <v>11734000</v>
      </c>
      <c r="X62" s="252">
        <f t="shared" si="2"/>
        <v>0</v>
      </c>
      <c r="Y62" s="252">
        <f t="shared" si="1"/>
        <v>9268061.2217907906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1120000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19179066.690856263</v>
      </c>
      <c r="T63" s="252"/>
      <c r="U63" s="254">
        <f t="shared" si="4"/>
        <v>1500961.7352978166</v>
      </c>
      <c r="V63" s="254">
        <f t="shared" si="5"/>
        <v>463167.07990700606</v>
      </c>
      <c r="W63" s="252">
        <f t="shared" si="6"/>
        <v>11734000</v>
      </c>
      <c r="X63" s="252">
        <f t="shared" si="2"/>
        <v>0</v>
      </c>
      <c r="Y63" s="252">
        <f t="shared" si="1"/>
        <v>9409195.5060610883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19290944.579886258</v>
      </c>
      <c r="T64" s="252">
        <f>$V$4</f>
        <v>2000000</v>
      </c>
      <c r="U64" s="254">
        <f t="shared" si="4"/>
        <v>1523469.7497586317</v>
      </c>
      <c r="V64" s="254">
        <f t="shared" si="5"/>
        <v>470750.31347677403</v>
      </c>
      <c r="W64" s="252">
        <f t="shared" si="6"/>
        <v>11734000</v>
      </c>
      <c r="X64" s="252">
        <f t="shared" si="2"/>
        <v>2000000</v>
      </c>
      <c r="Y64" s="252">
        <f t="shared" si="1"/>
        <v>11551164.643121663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3931028</v>
      </c>
      <c r="E65" s="200"/>
      <c r="F65" s="201"/>
      <c r="G65" s="202" t="s">
        <v>158</v>
      </c>
      <c r="H65" s="203" t="s">
        <v>114</v>
      </c>
      <c r="I65" s="204">
        <f>I19-I32</f>
        <v>7583.2335697679591</v>
      </c>
      <c r="J65" s="18"/>
      <c r="K65" s="205"/>
      <c r="L65" s="212" t="s">
        <v>214</v>
      </c>
      <c r="M65" s="223">
        <v>810000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21403475.089935593</v>
      </c>
      <c r="T65" s="252"/>
      <c r="U65" s="254">
        <f t="shared" si="4"/>
        <v>1546165.3310066203</v>
      </c>
      <c r="V65" s="254">
        <f t="shared" si="5"/>
        <v>478333.54704654199</v>
      </c>
      <c r="W65" s="252">
        <f t="shared" si="6"/>
        <v>13734000</v>
      </c>
      <c r="X65" s="252">
        <f t="shared" si="2"/>
        <v>0</v>
      </c>
      <c r="Y65" s="252">
        <f t="shared" si="1"/>
        <v>9693973.9679887556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860000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21528328.694626886</v>
      </c>
      <c r="T66" s="252"/>
      <c r="U66" s="254">
        <f t="shared" si="4"/>
        <v>1569050.0420983422</v>
      </c>
      <c r="V66" s="254">
        <f t="shared" si="5"/>
        <v>485916.78061630996</v>
      </c>
      <c r="W66" s="252">
        <f t="shared" si="6"/>
        <v>13734000</v>
      </c>
      <c r="X66" s="252">
        <f t="shared" si="2"/>
        <v>0</v>
      </c>
      <c r="Y66" s="252">
        <f t="shared" si="1"/>
        <v>9849295.5173415393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4351028</v>
      </c>
      <c r="E67" s="459"/>
      <c r="F67" s="366"/>
      <c r="G67" s="461" t="s">
        <v>113</v>
      </c>
      <c r="H67" s="461" t="s">
        <v>115</v>
      </c>
      <c r="I67" s="462">
        <f>I65*12</f>
        <v>90998.802837215509</v>
      </c>
      <c r="K67" s="205"/>
      <c r="L67" s="214" t="s">
        <v>343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1437028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6369.9161986050867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3722000</v>
      </c>
      <c r="E72" s="464"/>
      <c r="F72" s="201"/>
      <c r="G72" s="195" t="s">
        <v>1</v>
      </c>
      <c r="H72" s="195" t="s">
        <v>114</v>
      </c>
      <c r="I72" s="196">
        <f>H5</f>
        <v>13151.666666666668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7040000</v>
      </c>
      <c r="E74" s="464"/>
      <c r="F74" s="201"/>
      <c r="G74" s="195" t="s">
        <v>251</v>
      </c>
      <c r="H74" s="195" t="s">
        <v>114</v>
      </c>
      <c r="I74" s="196">
        <f>I32-H5</f>
        <v>14416.766430232037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556991.54</v>
      </c>
      <c r="E75" s="464"/>
      <c r="F75" s="201"/>
      <c r="G75" s="456"/>
      <c r="H75" s="195" t="s">
        <v>115</v>
      </c>
      <c r="I75" s="196">
        <f>I74*12</f>
        <v>173001.19716278446</v>
      </c>
      <c r="K75" s="205"/>
      <c r="L75" s="212" t="s">
        <v>335</v>
      </c>
      <c r="M75" s="223">
        <v>1176000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2661556.879427453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3318000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0.52869318181818181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1910000.0000000005</v>
      </c>
      <c r="E81" s="464"/>
      <c r="F81" s="366"/>
      <c r="G81" s="380"/>
      <c r="H81" s="452"/>
      <c r="I81" s="407"/>
      <c r="K81" s="205"/>
      <c r="L81" s="212" t="s">
        <v>342</v>
      </c>
      <c r="M81" s="223">
        <v>200000</v>
      </c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SUM(E38:E39)+E43</f>
        <v>351306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9550000.0000000019</v>
      </c>
      <c r="E83" s="464"/>
      <c r="F83" s="366"/>
      <c r="G83" s="475" t="s">
        <v>163</v>
      </c>
      <c r="H83" s="475"/>
      <c r="I83" s="477">
        <f>SUM(E41:E42)</f>
        <v>196022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547328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-2688530.4322780571</v>
      </c>
      <c r="E87" s="480"/>
      <c r="F87" s="366"/>
      <c r="G87" s="201"/>
      <c r="H87" s="452"/>
      <c r="I87" s="407"/>
      <c r="L87" s="247"/>
      <c r="M87" s="120"/>
      <c r="O87" s="119" t="s">
        <v>340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43.354243340539448</v>
      </c>
      <c r="L88" s="119" t="s">
        <v>337</v>
      </c>
      <c r="M88" s="120">
        <f>M75-M57</f>
        <v>875000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3.6128536117116208</v>
      </c>
      <c r="L89" s="119" t="s">
        <v>338</v>
      </c>
      <c r="M89" s="120">
        <v>50000</v>
      </c>
      <c r="O89" s="120">
        <f>M88-M89</f>
        <v>825000</v>
      </c>
    </row>
    <row r="90" spans="2:26" ht="45" x14ac:dyDescent="0.45">
      <c r="B90" s="479" t="s">
        <v>117</v>
      </c>
      <c r="C90" s="480"/>
      <c r="D90" s="481">
        <f>PV(8%/12,30*12,H24,0)*-1</f>
        <v>1033469.5677219428</v>
      </c>
      <c r="E90" s="480"/>
      <c r="F90" s="366"/>
      <c r="G90" s="482" t="s">
        <v>161</v>
      </c>
      <c r="H90" s="482"/>
      <c r="I90" s="483">
        <f>H24/(I32-H5)</f>
        <v>0.52600100074215517</v>
      </c>
      <c r="L90" s="119" t="s">
        <v>309</v>
      </c>
      <c r="M90" s="120">
        <v>140000</v>
      </c>
      <c r="O90" s="120">
        <f>O89-M90</f>
        <v>685000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O91" s="120"/>
    </row>
    <row r="92" spans="2:26" ht="35" customHeight="1" x14ac:dyDescent="0.35">
      <c r="D92" s="99"/>
      <c r="E92" s="22"/>
      <c r="L92" s="119" t="s">
        <v>308</v>
      </c>
      <c r="M92" s="120">
        <v>380000</v>
      </c>
      <c r="O92" s="120">
        <f>O90-M92</f>
        <v>305000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286</v>
      </c>
      <c r="M93" s="120">
        <v>480000</v>
      </c>
      <c r="O93" s="120">
        <f>O92-M93</f>
        <v>-175000</v>
      </c>
    </row>
    <row r="94" spans="2:26" ht="35" customHeight="1" x14ac:dyDescent="0.35">
      <c r="D94" s="99"/>
      <c r="E94" s="98"/>
      <c r="F94" s="99"/>
      <c r="G94" s="99"/>
      <c r="H94" s="99"/>
      <c r="L94" s="247"/>
      <c r="O94" s="120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M97" s="293">
        <f>SUM(M88-M89-M90-M92-M93)</f>
        <v>-175000</v>
      </c>
      <c r="O97" s="12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O98" s="12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50306</v>
      </c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497022</v>
      </c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824000</v>
      </c>
      <c r="I102" s="270" t="s">
        <v>212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1371328</v>
      </c>
      <c r="I104" s="270">
        <f>H104*0.075</f>
        <v>102849.59999999999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15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5" ht="35" x14ac:dyDescent="0.35">
      <c r="B108" s="270"/>
      <c r="C108" s="270"/>
      <c r="D108" s="273"/>
      <c r="E108" s="270"/>
      <c r="F108" s="271"/>
      <c r="G108" s="271"/>
      <c r="H108" s="271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A288-E6F4-7F4A-BCF0-E66D0842ED61}">
  <dimension ref="B1:AI137"/>
  <sheetViews>
    <sheetView showGridLines="0" tabSelected="1" topLeftCell="A25" zoomScale="40" zoomScaleNormal="40" workbookViewId="0">
      <selection activeCell="G62" sqref="G62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51.33203125" style="18" customWidth="1"/>
    <col min="14" max="14" width="14.1640625" style="18" customWidth="1"/>
    <col min="15" max="15" width="37.332031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13151.666666666668</v>
      </c>
      <c r="I5" s="377">
        <f>H5*12</f>
        <v>157820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264000</v>
      </c>
      <c r="D6" s="378">
        <f>M6</f>
        <v>22000</v>
      </c>
      <c r="E6" s="379"/>
      <c r="F6" s="380"/>
      <c r="G6" s="365"/>
      <c r="H6" s="381"/>
      <c r="I6" s="382"/>
      <c r="K6" s="205"/>
      <c r="L6" s="212" t="s">
        <v>70</v>
      </c>
      <c r="M6" s="223">
        <v>22000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7080000</v>
      </c>
      <c r="T7" s="252"/>
      <c r="U7" s="252">
        <f>SUM(E41:E43)</f>
        <v>534000</v>
      </c>
      <c r="V7" s="252">
        <f>$E$38</f>
        <v>29728</v>
      </c>
      <c r="W7" s="252">
        <f>$I$57</f>
        <v>3727000</v>
      </c>
      <c r="X7" s="252">
        <f>T7</f>
        <v>0</v>
      </c>
      <c r="Y7" s="252">
        <f t="shared" ref="Y7:Y66" si="1">SUM(S7:V7)-W7</f>
        <v>3916728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0</v>
      </c>
      <c r="E8" s="385">
        <f>D8</f>
        <v>0</v>
      </c>
      <c r="F8" s="370"/>
      <c r="G8" s="365"/>
      <c r="H8" s="201"/>
      <c r="I8" s="384"/>
      <c r="K8" s="205"/>
      <c r="L8" s="212" t="s">
        <v>72</v>
      </c>
      <c r="M8" s="223"/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7121300</v>
      </c>
      <c r="T8" s="252"/>
      <c r="U8" s="254">
        <f>($V$2/12+1)*U7+$V$3</f>
        <v>548450</v>
      </c>
      <c r="V8" s="254">
        <f>V7+$I$65</f>
        <v>36683.754692722097</v>
      </c>
      <c r="W8" s="252">
        <f>W7+X7</f>
        <v>3727000</v>
      </c>
      <c r="X8" s="252">
        <f t="shared" ref="X8:X66" si="2">T8</f>
        <v>0</v>
      </c>
      <c r="Y8" s="252">
        <f t="shared" si="1"/>
        <v>3979433.7546927221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0</v>
      </c>
      <c r="D9" s="378">
        <f>M9</f>
        <v>0</v>
      </c>
      <c r="E9" s="385">
        <f>D9</f>
        <v>0</v>
      </c>
      <c r="F9" s="370"/>
      <c r="G9" s="365"/>
      <c r="H9" s="201"/>
      <c r="I9" s="384"/>
      <c r="K9" s="205"/>
      <c r="L9" s="212" t="s">
        <v>73</v>
      </c>
      <c r="M9" s="223"/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7162840.916666667</v>
      </c>
      <c r="T9" s="252"/>
      <c r="U9" s="254">
        <f t="shared" ref="U9:U66" si="4">($V$2/12+1)*U8+$V$3</f>
        <v>563020.41666666663</v>
      </c>
      <c r="V9" s="254">
        <f t="shared" ref="V9:V66" si="5">V8+$I$65</f>
        <v>43639.509385444195</v>
      </c>
      <c r="W9" s="252">
        <f t="shared" ref="W9:W66" si="6">W8+X8</f>
        <v>3727000</v>
      </c>
      <c r="X9" s="252">
        <f t="shared" si="2"/>
        <v>0</v>
      </c>
      <c r="Y9" s="252">
        <f t="shared" si="1"/>
        <v>4042500.8427187782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7204624.1553472225</v>
      </c>
      <c r="T10" s="252"/>
      <c r="U10" s="254">
        <f t="shared" si="4"/>
        <v>577712.25347222213</v>
      </c>
      <c r="V10" s="254">
        <f t="shared" si="5"/>
        <v>50595.264078166292</v>
      </c>
      <c r="W10" s="252">
        <f t="shared" si="6"/>
        <v>3727000</v>
      </c>
      <c r="X10" s="252">
        <f t="shared" si="2"/>
        <v>0</v>
      </c>
      <c r="Y10" s="252">
        <f t="shared" si="1"/>
        <v>4105931.6728976108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7246651.1295867478</v>
      </c>
      <c r="T11" s="252"/>
      <c r="U11" s="254">
        <f t="shared" si="4"/>
        <v>592526.52225115732</v>
      </c>
      <c r="V11" s="254">
        <f t="shared" si="5"/>
        <v>57551.01877088839</v>
      </c>
      <c r="W11" s="252">
        <f t="shared" si="6"/>
        <v>3727000</v>
      </c>
      <c r="X11" s="252">
        <f t="shared" si="2"/>
        <v>0</v>
      </c>
      <c r="Y11" s="252">
        <f t="shared" si="1"/>
        <v>4169728.6706087934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7288923.2611760041</v>
      </c>
      <c r="T12" s="252"/>
      <c r="U12" s="254">
        <f t="shared" si="4"/>
        <v>607464.24326991697</v>
      </c>
      <c r="V12" s="254">
        <f t="shared" si="5"/>
        <v>64506.773463610487</v>
      </c>
      <c r="W12" s="252">
        <f t="shared" si="6"/>
        <v>3727000</v>
      </c>
      <c r="X12" s="252">
        <f t="shared" si="2"/>
        <v>0</v>
      </c>
      <c r="Y12" s="252">
        <f t="shared" si="1"/>
        <v>4233894.2779095313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7331441.9801995307</v>
      </c>
      <c r="T13" s="252"/>
      <c r="U13" s="254">
        <f t="shared" si="4"/>
        <v>622526.44529716624</v>
      </c>
      <c r="V13" s="254">
        <f t="shared" si="5"/>
        <v>71462.528156332584</v>
      </c>
      <c r="W13" s="252">
        <f t="shared" si="6"/>
        <v>3727000</v>
      </c>
      <c r="X13" s="252">
        <f t="shared" si="2"/>
        <v>0</v>
      </c>
      <c r="Y13" s="252">
        <f t="shared" si="1"/>
        <v>4298430.9536530301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36400</v>
      </c>
      <c r="D14" s="378">
        <f>M14*52/12</f>
        <v>3033.3333333333335</v>
      </c>
      <c r="E14" s="392">
        <f>SUM(D14-D23)</f>
        <v>-129.6599999999994</v>
      </c>
      <c r="F14" s="391"/>
      <c r="G14" s="544" t="s">
        <v>68</v>
      </c>
      <c r="H14" s="539">
        <f>C14/E49</f>
        <v>3.2500000000000001E-2</v>
      </c>
      <c r="I14" s="542">
        <f>(D14-M29)/E49*12</f>
        <v>2.5993642857142861E-2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7374208.7250840282</v>
      </c>
      <c r="T14" s="252"/>
      <c r="U14" s="254">
        <f t="shared" si="4"/>
        <v>637714.16567464266</v>
      </c>
      <c r="V14" s="254">
        <f t="shared" si="5"/>
        <v>78418.282849054682</v>
      </c>
      <c r="W14" s="252">
        <f t="shared" si="6"/>
        <v>3727000</v>
      </c>
      <c r="X14" s="252">
        <f t="shared" si="2"/>
        <v>0</v>
      </c>
      <c r="Y14" s="252">
        <f t="shared" si="1"/>
        <v>4363341.1736077257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39260</v>
      </c>
      <c r="D15" s="378">
        <f>M15*52/12</f>
        <v>3271.6666666666665</v>
      </c>
      <c r="E15" s="392">
        <f>SUM(D15-D24)</f>
        <v>1286.9166666666665</v>
      </c>
      <c r="F15" s="391"/>
      <c r="G15" s="544" t="s">
        <v>69</v>
      </c>
      <c r="H15" s="539">
        <f>C15/E50</f>
        <v>6.7689655172413793E-2</v>
      </c>
      <c r="I15" s="542">
        <f>(D15-M30)/E50*12</f>
        <v>5.037931034482758E-2</v>
      </c>
      <c r="K15" s="205"/>
      <c r="L15" s="212" t="s">
        <v>221</v>
      </c>
      <c r="M15" s="223">
        <v>755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7417224.9426470185</v>
      </c>
      <c r="T15" s="252"/>
      <c r="U15" s="254">
        <f t="shared" si="4"/>
        <v>653028.45038859802</v>
      </c>
      <c r="V15" s="254">
        <f t="shared" si="5"/>
        <v>85374.037541776779</v>
      </c>
      <c r="W15" s="252">
        <f t="shared" si="6"/>
        <v>3727000</v>
      </c>
      <c r="X15" s="252">
        <f t="shared" si="2"/>
        <v>0</v>
      </c>
      <c r="Y15" s="252">
        <f t="shared" si="1"/>
        <v>4428627.4305773936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-1553.0399999999995</v>
      </c>
      <c r="F16" s="391"/>
      <c r="G16" s="544" t="s">
        <v>217</v>
      </c>
      <c r="H16" s="539">
        <f>C16/E51</f>
        <v>4.6292682926829268E-2</v>
      </c>
      <c r="I16" s="542">
        <f>(D16-M31)/E51*12</f>
        <v>3.4250634146341469E-2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7460492.0881457925</v>
      </c>
      <c r="T16" s="252"/>
      <c r="U16" s="254">
        <f t="shared" si="4"/>
        <v>668470.35414183629</v>
      </c>
      <c r="V16" s="254">
        <f t="shared" si="5"/>
        <v>92329.792234498876</v>
      </c>
      <c r="W16" s="252">
        <f t="shared" si="6"/>
        <v>3727000</v>
      </c>
      <c r="X16" s="252">
        <f t="shared" si="2"/>
        <v>0</v>
      </c>
      <c r="Y16" s="252">
        <f t="shared" si="1"/>
        <v>4494292.2345221275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44200</v>
      </c>
      <c r="D17" s="378">
        <f>M17*52/12</f>
        <v>3683.3333333333335</v>
      </c>
      <c r="E17" s="392">
        <f>SUM(D17-D26)</f>
        <v>-1290.8066666666668</v>
      </c>
      <c r="F17" s="391"/>
      <c r="G17" s="544" t="s">
        <v>244</v>
      </c>
      <c r="H17" s="539">
        <f>C17/E52</f>
        <v>4.9662921348314605E-2</v>
      </c>
      <c r="I17" s="542">
        <f>(D17-M32)/E52*12</f>
        <v>3.8053842696629217E-2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7504011.6253266428</v>
      </c>
      <c r="T17" s="252">
        <f>$V$4</f>
        <v>2000000</v>
      </c>
      <c r="U17" s="254">
        <f t="shared" si="4"/>
        <v>684040.94042635162</v>
      </c>
      <c r="V17" s="254">
        <f t="shared" si="5"/>
        <v>99285.546927220974</v>
      </c>
      <c r="W17" s="252">
        <f t="shared" si="6"/>
        <v>3727000</v>
      </c>
      <c r="X17" s="252">
        <f t="shared" si="2"/>
        <v>2000000</v>
      </c>
      <c r="Y17" s="252">
        <f t="shared" si="1"/>
        <v>6560338.1126802154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 t="str">
        <f>IF(SUM(D18-D27)&gt;=0, SUM(D18-D27), "")</f>
        <v/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9547785.0264743827</v>
      </c>
      <c r="T18" s="252"/>
      <c r="U18" s="254">
        <f t="shared" si="4"/>
        <v>699741.28159657121</v>
      </c>
      <c r="V18" s="254">
        <f t="shared" si="5"/>
        <v>106241.30161994307</v>
      </c>
      <c r="W18" s="252">
        <f t="shared" si="6"/>
        <v>5727000</v>
      </c>
      <c r="X18" s="252">
        <f t="shared" si="2"/>
        <v>0</v>
      </c>
      <c r="Y18" s="252">
        <f t="shared" si="1"/>
        <v>4626767.6096908972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SUM(E16:E17+E14)*0.4*-12</f>
        <v>14895.199999999993</v>
      </c>
      <c r="D19" s="535">
        <f>C19/12</f>
        <v>1241.2666666666662</v>
      </c>
      <c r="E19" s="534">
        <f>SUM(E14:E18)</f>
        <v>-1686.5899999999992</v>
      </c>
      <c r="F19" s="391"/>
      <c r="G19" s="547" t="s">
        <v>56</v>
      </c>
      <c r="H19" s="548" t="s">
        <v>57</v>
      </c>
      <c r="I19" s="549">
        <f>SUM(D6:D18)</f>
        <v>35151.666666666664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9603480.4391288161</v>
      </c>
      <c r="T19" s="252"/>
      <c r="U19" s="254">
        <f t="shared" si="4"/>
        <v>715572.45894320926</v>
      </c>
      <c r="V19" s="254">
        <f t="shared" si="5"/>
        <v>113197.05631266517</v>
      </c>
      <c r="W19" s="252">
        <f t="shared" si="6"/>
        <v>5727000</v>
      </c>
      <c r="X19" s="252">
        <f t="shared" si="2"/>
        <v>0</v>
      </c>
      <c r="Y19" s="252">
        <f t="shared" si="1"/>
        <v>4705249.9543846902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9659500.741690401</v>
      </c>
      <c r="T20" s="252"/>
      <c r="U20" s="254">
        <f t="shared" si="4"/>
        <v>731535.56276773603</v>
      </c>
      <c r="V20" s="254">
        <f t="shared" si="5"/>
        <v>120152.81100538727</v>
      </c>
      <c r="W20" s="252">
        <f t="shared" si="6"/>
        <v>5727000</v>
      </c>
      <c r="X20" s="252">
        <f t="shared" si="2"/>
        <v>0</v>
      </c>
      <c r="Y20" s="252">
        <f t="shared" si="1"/>
        <v>4784189.1154635251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9715847.829350261</v>
      </c>
      <c r="T21" s="252"/>
      <c r="U21" s="254">
        <f t="shared" si="4"/>
        <v>747631.6924574672</v>
      </c>
      <c r="V21" s="254">
        <f t="shared" si="5"/>
        <v>127108.56569810936</v>
      </c>
      <c r="W21" s="252">
        <f t="shared" si="6"/>
        <v>5727000</v>
      </c>
      <c r="X21" s="252">
        <f t="shared" si="2"/>
        <v>0</v>
      </c>
      <c r="Y21" s="252">
        <f t="shared" si="1"/>
        <v>4863588.0875058379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60256.633687334848</v>
      </c>
      <c r="D22" s="409">
        <f>PMT(M22/12,30*12,-(M75-M57))</f>
        <v>5021.3861406112374</v>
      </c>
      <c r="E22" s="410"/>
      <c r="F22" s="402"/>
      <c r="G22" s="406"/>
      <c r="H22" s="201"/>
      <c r="I22" s="407"/>
      <c r="K22" s="205"/>
      <c r="L22" s="212" t="s">
        <v>118</v>
      </c>
      <c r="M22" s="225">
        <v>5.67E-2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9772523.608354805</v>
      </c>
      <c r="T22" s="252"/>
      <c r="U22" s="254">
        <f t="shared" si="4"/>
        <v>763861.95656127937</v>
      </c>
      <c r="V22" s="254">
        <f t="shared" si="5"/>
        <v>134064.32039083145</v>
      </c>
      <c r="W22" s="252">
        <f t="shared" si="6"/>
        <v>5727000</v>
      </c>
      <c r="X22" s="252">
        <f t="shared" si="2"/>
        <v>0</v>
      </c>
      <c r="Y22" s="252">
        <f t="shared" si="1"/>
        <v>4943449.8853069153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37955.919999999998</v>
      </c>
      <c r="D23" s="409">
        <f>M23*I49/12+(M29)</f>
        <v>3162.9933333333329</v>
      </c>
      <c r="E23" s="410"/>
      <c r="F23" s="402"/>
      <c r="G23" s="406"/>
      <c r="H23" s="201"/>
      <c r="I23" s="407"/>
      <c r="K23" s="205"/>
      <c r="L23" s="212" t="s">
        <v>167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9829529.996070208</v>
      </c>
      <c r="T23" s="252"/>
      <c r="U23" s="254">
        <f t="shared" si="4"/>
        <v>780227.47286595672</v>
      </c>
      <c r="V23" s="254">
        <f t="shared" si="5"/>
        <v>141020.07508355356</v>
      </c>
      <c r="W23" s="252">
        <f t="shared" si="6"/>
        <v>5727000</v>
      </c>
      <c r="X23" s="252">
        <f t="shared" si="2"/>
        <v>0</v>
      </c>
      <c r="Y23" s="252">
        <f t="shared" si="1"/>
        <v>5023777.5440197177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23817</v>
      </c>
      <c r="D24" s="409">
        <f>M24*I50/12+(M30)</f>
        <v>1984.75</v>
      </c>
      <c r="E24" s="411"/>
      <c r="F24" s="412"/>
      <c r="G24" s="413" t="s">
        <v>86</v>
      </c>
      <c r="H24" s="376">
        <f>I19-I32</f>
        <v>6955.7546927220974</v>
      </c>
      <c r="I24" s="407"/>
      <c r="K24" s="205"/>
      <c r="L24" s="212" t="s">
        <v>168</v>
      </c>
      <c r="M24" s="225">
        <f>M23</f>
        <v>5.9900000000000002E-2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9886868.9210472852</v>
      </c>
      <c r="T24" s="252"/>
      <c r="U24" s="254">
        <f t="shared" si="4"/>
        <v>796729.368473173</v>
      </c>
      <c r="V24" s="254">
        <f t="shared" si="5"/>
        <v>147975.82977627567</v>
      </c>
      <c r="W24" s="252">
        <f t="shared" si="6"/>
        <v>5727000</v>
      </c>
      <c r="X24" s="252">
        <f t="shared" si="2"/>
        <v>0</v>
      </c>
      <c r="Y24" s="252">
        <f t="shared" si="1"/>
        <v>5104574.1192967333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56596.479999999996</v>
      </c>
      <c r="D25" s="409">
        <f>M25*I51/12+(M31)</f>
        <v>4716.373333333333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5.9900000000000002E-2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9944542.3230867274</v>
      </c>
      <c r="T25" s="252"/>
      <c r="U25" s="254">
        <f t="shared" si="4"/>
        <v>813368.77987711609</v>
      </c>
      <c r="V25" s="254">
        <f t="shared" si="5"/>
        <v>154931.58446899778</v>
      </c>
      <c r="W25" s="252">
        <f t="shared" si="6"/>
        <v>5727000</v>
      </c>
      <c r="X25" s="252">
        <f t="shared" si="2"/>
        <v>0</v>
      </c>
      <c r="Y25" s="252">
        <f t="shared" si="1"/>
        <v>5185842.6874328423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59689.680000000008</v>
      </c>
      <c r="D26" s="409">
        <f>M26*I52/12+(M32)</f>
        <v>4974.1400000000003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5.9900000000000002E-2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10002552.153304733</v>
      </c>
      <c r="T26" s="252"/>
      <c r="U26" s="254">
        <f t="shared" si="4"/>
        <v>830146.85304275865</v>
      </c>
      <c r="V26" s="254">
        <f t="shared" si="5"/>
        <v>161887.33916171989</v>
      </c>
      <c r="W26" s="252">
        <f t="shared" si="6"/>
        <v>5727000</v>
      </c>
      <c r="X26" s="252">
        <f t="shared" si="2"/>
        <v>0</v>
      </c>
      <c r="Y26" s="252">
        <f t="shared" si="1"/>
        <v>5267586.3455092125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11980</v>
      </c>
      <c r="D27" s="409">
        <f>M27*I53/12</f>
        <v>998.33333333333337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5.9900000000000002E-2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10060900.37419901</v>
      </c>
      <c r="T27" s="252"/>
      <c r="U27" s="254">
        <f t="shared" si="4"/>
        <v>847064.74348478159</v>
      </c>
      <c r="V27" s="254">
        <f t="shared" si="5"/>
        <v>168843.09385444201</v>
      </c>
      <c r="W27" s="252">
        <f t="shared" si="6"/>
        <v>5727000</v>
      </c>
      <c r="X27" s="252">
        <f t="shared" si="2"/>
        <v>0</v>
      </c>
      <c r="Y27" s="252">
        <f t="shared" si="1"/>
        <v>5349808.2115382347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10119588.959715171</v>
      </c>
      <c r="T28" s="252">
        <f>$V$4</f>
        <v>2000000</v>
      </c>
      <c r="U28" s="254">
        <f t="shared" si="4"/>
        <v>864123.61634715472</v>
      </c>
      <c r="V28" s="254">
        <f t="shared" si="5"/>
        <v>175798.84854716412</v>
      </c>
      <c r="W28" s="252">
        <f t="shared" si="6"/>
        <v>5727000</v>
      </c>
      <c r="X28" s="252">
        <f t="shared" si="2"/>
        <v>2000000</v>
      </c>
      <c r="Y28" s="252">
        <f t="shared" si="1"/>
        <v>7432511.4246094897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12178619.895313509</v>
      </c>
      <c r="T29" s="252"/>
      <c r="U29" s="254">
        <f t="shared" si="4"/>
        <v>881324.64648338093</v>
      </c>
      <c r="V29" s="254">
        <f t="shared" si="5"/>
        <v>182754.60323988623</v>
      </c>
      <c r="W29" s="252">
        <f t="shared" si="6"/>
        <v>7727000</v>
      </c>
      <c r="X29" s="252">
        <f t="shared" si="2"/>
        <v>0</v>
      </c>
      <c r="Y29" s="252">
        <f t="shared" si="1"/>
        <v>5515699.1450367756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12249661.844702838</v>
      </c>
      <c r="T30" s="252"/>
      <c r="U30" s="254">
        <f t="shared" si="4"/>
        <v>898669.01853740902</v>
      </c>
      <c r="V30" s="254">
        <f t="shared" si="5"/>
        <v>189710.35793260834</v>
      </c>
      <c r="W30" s="252">
        <f t="shared" si="6"/>
        <v>7727000</v>
      </c>
      <c r="X30" s="252">
        <f t="shared" si="2"/>
        <v>0</v>
      </c>
      <c r="Y30" s="252">
        <f t="shared" si="1"/>
        <v>5611041.2211728562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12321118.205463605</v>
      </c>
      <c r="T31" s="252"/>
      <c r="U31" s="254">
        <f t="shared" si="4"/>
        <v>916157.92702522071</v>
      </c>
      <c r="V31" s="254">
        <f t="shared" si="5"/>
        <v>196666.11262533045</v>
      </c>
      <c r="W31" s="252">
        <f t="shared" si="6"/>
        <v>7727000</v>
      </c>
      <c r="X31" s="252">
        <f t="shared" si="2"/>
        <v>0</v>
      </c>
      <c r="Y31" s="252">
        <f t="shared" si="1"/>
        <v>5706942.245114157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28195.911973944567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12392991.394995477</v>
      </c>
      <c r="T32" s="252"/>
      <c r="U32" s="254">
        <f t="shared" si="4"/>
        <v>933792.57641709747</v>
      </c>
      <c r="V32" s="254">
        <f t="shared" si="5"/>
        <v>203621.86731805257</v>
      </c>
      <c r="W32" s="252">
        <f t="shared" si="6"/>
        <v>7727000</v>
      </c>
      <c r="X32" s="252">
        <f t="shared" si="2"/>
        <v>0</v>
      </c>
      <c r="Y32" s="252">
        <f t="shared" si="1"/>
        <v>5803405.8387306277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12465283.844799617</v>
      </c>
      <c r="T33" s="252"/>
      <c r="U33" s="254">
        <f t="shared" si="4"/>
        <v>951574.18122057326</v>
      </c>
      <c r="V33" s="254">
        <f t="shared" si="5"/>
        <v>210577.62201077468</v>
      </c>
      <c r="W33" s="252">
        <f t="shared" si="6"/>
        <v>7727000</v>
      </c>
      <c r="X33" s="252">
        <f t="shared" si="2"/>
        <v>0</v>
      </c>
      <c r="Y33" s="252">
        <f t="shared" si="1"/>
        <v>5900435.6480309647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12537998.000560949</v>
      </c>
      <c r="T34" s="252"/>
      <c r="U34" s="254">
        <f t="shared" si="4"/>
        <v>969503.96606407803</v>
      </c>
      <c r="V34" s="254">
        <f t="shared" si="5"/>
        <v>217533.37670349679</v>
      </c>
      <c r="W34" s="252">
        <f t="shared" si="6"/>
        <v>7727000</v>
      </c>
      <c r="X34" s="252">
        <f t="shared" si="2"/>
        <v>0</v>
      </c>
      <c r="Y34" s="252">
        <f t="shared" si="1"/>
        <v>5998035.3433285244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12611136.322230889</v>
      </c>
      <c r="T35" s="252"/>
      <c r="U35" s="254">
        <f t="shared" si="4"/>
        <v>987583.16578127863</v>
      </c>
      <c r="V35" s="254">
        <f t="shared" si="5"/>
        <v>224489.1313962189</v>
      </c>
      <c r="W35" s="252">
        <f t="shared" si="6"/>
        <v>7727000</v>
      </c>
      <c r="X35" s="252">
        <f t="shared" si="2"/>
        <v>0</v>
      </c>
      <c r="Y35" s="252">
        <f t="shared" si="1"/>
        <v>6096208.6194083858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12684701.284110568</v>
      </c>
      <c r="T36" s="252"/>
      <c r="U36" s="254">
        <f t="shared" si="4"/>
        <v>1005813.0254961225</v>
      </c>
      <c r="V36" s="254">
        <f t="shared" si="5"/>
        <v>231444.88608894101</v>
      </c>
      <c r="W36" s="252">
        <f t="shared" si="6"/>
        <v>7727000</v>
      </c>
      <c r="X36" s="252">
        <f t="shared" si="2"/>
        <v>0</v>
      </c>
      <c r="Y36" s="252">
        <f t="shared" si="1"/>
        <v>6194959.1956956331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12758695.374934547</v>
      </c>
      <c r="T37" s="252"/>
      <c r="U37" s="254">
        <f t="shared" si="4"/>
        <v>1024194.8007085902</v>
      </c>
      <c r="V37" s="254">
        <f t="shared" si="5"/>
        <v>238400.64078166313</v>
      </c>
      <c r="W37" s="252">
        <f t="shared" si="6"/>
        <v>7727000</v>
      </c>
      <c r="X37" s="252">
        <f t="shared" si="2"/>
        <v>0</v>
      </c>
      <c r="Y37" s="252">
        <f t="shared" si="1"/>
        <v>6294290.8164248001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 t="shared" ref="E38:E43" si="9">M52</f>
        <v>29728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12833121.097954998</v>
      </c>
      <c r="T38" s="252"/>
      <c r="U38" s="254">
        <f t="shared" si="4"/>
        <v>1042729.7573811618</v>
      </c>
      <c r="V38" s="254">
        <f t="shared" si="5"/>
        <v>245356.39547438524</v>
      </c>
      <c r="W38" s="252">
        <f t="shared" si="6"/>
        <v>7727000</v>
      </c>
      <c r="X38" s="252">
        <f t="shared" si="2"/>
        <v>0</v>
      </c>
      <c r="Y38" s="252">
        <f t="shared" si="1"/>
        <v>6394207.2508105449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 t="shared" si="9"/>
        <v>11800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12907980.971026402</v>
      </c>
      <c r="T39" s="252"/>
      <c r="U39" s="254">
        <f t="shared" si="4"/>
        <v>1061419.1720260049</v>
      </c>
      <c r="V39" s="254">
        <f t="shared" si="5"/>
        <v>252312.15016710735</v>
      </c>
      <c r="W39" s="252">
        <f t="shared" si="6"/>
        <v>7727000</v>
      </c>
      <c r="X39" s="252">
        <f t="shared" si="2"/>
        <v>0</v>
      </c>
      <c r="Y39" s="252">
        <f t="shared" si="1"/>
        <v>6494712.2932195142</v>
      </c>
      <c r="Z39" s="255"/>
      <c r="AA39" s="255"/>
      <c r="AB39" s="255"/>
      <c r="AC39" s="255"/>
    </row>
    <row r="40" spans="2:29" ht="45" x14ac:dyDescent="0.45">
      <c r="B40" s="406" t="s">
        <v>346</v>
      </c>
      <c r="C40" s="201"/>
      <c r="D40" s="366"/>
      <c r="E40" s="433">
        <f t="shared" si="9"/>
        <v>77700</v>
      </c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12983277.526690723</v>
      </c>
      <c r="T40" s="252">
        <f>$V$4</f>
        <v>2000000</v>
      </c>
      <c r="U40" s="254">
        <f t="shared" si="4"/>
        <v>1080264.3317928882</v>
      </c>
      <c r="V40" s="254">
        <f t="shared" si="5"/>
        <v>259267.90485982946</v>
      </c>
      <c r="W40" s="252">
        <f t="shared" si="6"/>
        <v>7727000</v>
      </c>
      <c r="X40" s="252">
        <f t="shared" si="2"/>
        <v>2000000</v>
      </c>
      <c r="Y40" s="252">
        <f t="shared" si="1"/>
        <v>8595809.7633434422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 t="shared" si="9"/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15059013.312263086</v>
      </c>
      <c r="T41" s="252"/>
      <c r="U41" s="254">
        <f t="shared" si="4"/>
        <v>1099266.5345578289</v>
      </c>
      <c r="V41" s="254">
        <f t="shared" si="5"/>
        <v>266223.65955255157</v>
      </c>
      <c r="W41" s="252">
        <f t="shared" si="6"/>
        <v>9727000</v>
      </c>
      <c r="X41" s="252">
        <f t="shared" si="2"/>
        <v>0</v>
      </c>
      <c r="Y41" s="252">
        <f t="shared" si="1"/>
        <v>6697503.5063734669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 t="shared" si="9"/>
        <v>233000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15146857.556584621</v>
      </c>
      <c r="T42" s="252"/>
      <c r="U42" s="254">
        <f t="shared" si="4"/>
        <v>1118427.0890124775</v>
      </c>
      <c r="V42" s="254">
        <f t="shared" si="5"/>
        <v>273179.41424527369</v>
      </c>
      <c r="W42" s="252">
        <f t="shared" si="6"/>
        <v>9727000</v>
      </c>
      <c r="X42" s="252">
        <f t="shared" si="2"/>
        <v>0</v>
      </c>
      <c r="Y42" s="252">
        <f t="shared" si="1"/>
        <v>6811464.0598423723</v>
      </c>
      <c r="Z42" s="255"/>
      <c r="AA42" s="255"/>
      <c r="AB42" s="255"/>
      <c r="AC42" s="255"/>
    </row>
    <row r="43" spans="2:29" ht="45" x14ac:dyDescent="0.45">
      <c r="B43" s="406" t="str">
        <f>L57</f>
        <v>Mortgage Redraw</v>
      </c>
      <c r="C43" s="201"/>
      <c r="D43" s="366"/>
      <c r="E43" s="433">
        <f t="shared" si="9"/>
        <v>301000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15235214.225664698</v>
      </c>
      <c r="T43" s="252"/>
      <c r="U43" s="254">
        <f t="shared" si="4"/>
        <v>1137747.3147542481</v>
      </c>
      <c r="V43" s="254">
        <f t="shared" si="5"/>
        <v>280135.1689379958</v>
      </c>
      <c r="W43" s="252">
        <f t="shared" si="6"/>
        <v>9727000</v>
      </c>
      <c r="X43" s="252">
        <f t="shared" si="2"/>
        <v>0</v>
      </c>
      <c r="Y43" s="252">
        <f t="shared" si="1"/>
        <v>6926096.7093569413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15324086.308647742</v>
      </c>
      <c r="T44" s="252"/>
      <c r="U44" s="254">
        <f t="shared" si="4"/>
        <v>1157228.5423772002</v>
      </c>
      <c r="V44" s="254">
        <f t="shared" si="5"/>
        <v>287090.92363071791</v>
      </c>
      <c r="W44" s="252">
        <f t="shared" si="6"/>
        <v>9727000</v>
      </c>
      <c r="X44" s="252">
        <f t="shared" si="2"/>
        <v>0</v>
      </c>
      <c r="Y44" s="252">
        <f t="shared" si="1"/>
        <v>7041405.7746556606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15413476.812114855</v>
      </c>
      <c r="T45" s="252"/>
      <c r="U45" s="254">
        <f t="shared" si="4"/>
        <v>1176872.1135636768</v>
      </c>
      <c r="V45" s="254">
        <f t="shared" si="5"/>
        <v>294046.67832344002</v>
      </c>
      <c r="W45" s="252">
        <f t="shared" si="6"/>
        <v>9727000</v>
      </c>
      <c r="X45" s="252">
        <f t="shared" si="2"/>
        <v>0</v>
      </c>
      <c r="Y45" s="252">
        <f t="shared" si="1"/>
        <v>7157395.6040019728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15503388.760185525</v>
      </c>
      <c r="T46" s="252"/>
      <c r="U46" s="254">
        <f t="shared" si="4"/>
        <v>1196679.3811767073</v>
      </c>
      <c r="V46" s="254">
        <f t="shared" si="5"/>
        <v>301002.43301616213</v>
      </c>
      <c r="W46" s="252">
        <f t="shared" si="6"/>
        <v>9727000</v>
      </c>
      <c r="X46" s="252">
        <f t="shared" si="2"/>
        <v>0</v>
      </c>
      <c r="Y46" s="252">
        <f t="shared" si="1"/>
        <v>7274070.5743783936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15593825.194619941</v>
      </c>
      <c r="T47" s="252"/>
      <c r="U47" s="254">
        <f t="shared" si="4"/>
        <v>1216651.7093531799</v>
      </c>
      <c r="V47" s="254">
        <f t="shared" si="5"/>
        <v>307958.18770888424</v>
      </c>
      <c r="W47" s="252">
        <f t="shared" si="6"/>
        <v>9727000</v>
      </c>
      <c r="X47" s="252">
        <f t="shared" si="2"/>
        <v>0</v>
      </c>
      <c r="Y47" s="252">
        <f t="shared" si="1"/>
        <v>7391435.0916820057</v>
      </c>
      <c r="Z47" s="255"/>
      <c r="AA47" s="255"/>
      <c r="AB47" s="255"/>
      <c r="AC47" s="255"/>
    </row>
    <row r="48" spans="2:29" ht="46" thickBot="1" x14ac:dyDescent="0.5">
      <c r="B48" s="406" t="str">
        <f t="shared" ref="B48:B53" si="10">L62</f>
        <v>25 Jacaranda Ave, Kenmore Hills (HOME)</v>
      </c>
      <c r="C48" s="366"/>
      <c r="D48" s="438">
        <f t="shared" ref="D48:D53" si="11">E48-I48</f>
        <v>2501000</v>
      </c>
      <c r="E48" s="433">
        <f t="shared" ref="E48:E53" si="12">M62</f>
        <v>3670000</v>
      </c>
      <c r="F48" s="366"/>
      <c r="G48" s="365" t="str">
        <f>L75</f>
        <v>25 Jacaranda Ave, Kenmore Hills (HOME)</v>
      </c>
      <c r="H48" s="201"/>
      <c r="I48" s="434">
        <f>M75</f>
        <v>1169000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15684789.174921891</v>
      </c>
      <c r="T48" s="252"/>
      <c r="U48" s="254">
        <f t="shared" si="4"/>
        <v>1236790.4735977896</v>
      </c>
      <c r="V48" s="254">
        <f t="shared" si="5"/>
        <v>314913.94240160636</v>
      </c>
      <c r="W48" s="252">
        <f t="shared" si="6"/>
        <v>9727000</v>
      </c>
      <c r="X48" s="252">
        <f t="shared" si="2"/>
        <v>0</v>
      </c>
      <c r="Y48" s="252">
        <f t="shared" si="1"/>
        <v>7509493.5909212865</v>
      </c>
      <c r="Z48" s="255"/>
      <c r="AA48" s="255"/>
      <c r="AB48" s="255"/>
      <c r="AC48" s="255"/>
    </row>
    <row r="49" spans="2:29" ht="45" x14ac:dyDescent="0.45">
      <c r="B49" s="406" t="str">
        <f t="shared" si="10"/>
        <v>Investment 1 - Forest Lake value</v>
      </c>
      <c r="C49" s="366"/>
      <c r="D49" s="438">
        <f t="shared" si="11"/>
        <v>608000</v>
      </c>
      <c r="E49" s="433">
        <f t="shared" si="12"/>
        <v>1120000</v>
      </c>
      <c r="F49" s="366"/>
      <c r="G49" s="406" t="str">
        <f>L77</f>
        <v>Investment 1 Forest Lake - Mortgage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15776283.778442269</v>
      </c>
      <c r="T49" s="252"/>
      <c r="U49" s="254">
        <f t="shared" si="4"/>
        <v>1257097.0608777711</v>
      </c>
      <c r="V49" s="254">
        <f t="shared" si="5"/>
        <v>321869.69709432847</v>
      </c>
      <c r="W49" s="252">
        <f t="shared" si="6"/>
        <v>9727000</v>
      </c>
      <c r="X49" s="252">
        <f t="shared" si="2"/>
        <v>0</v>
      </c>
      <c r="Y49" s="252">
        <f t="shared" si="1"/>
        <v>7628250.5364143699</v>
      </c>
      <c r="Z49" s="255"/>
      <c r="AA49" s="255"/>
      <c r="AB49" s="255"/>
      <c r="AC49" s="255"/>
    </row>
    <row r="50" spans="2:29" s="17" customFormat="1" ht="46" thickBot="1" x14ac:dyDescent="0.5">
      <c r="B50" s="406" t="str">
        <f t="shared" si="10"/>
        <v>Investment 2 - Strathpine value</v>
      </c>
      <c r="C50" s="366"/>
      <c r="D50" s="438">
        <f t="shared" si="11"/>
        <v>350000</v>
      </c>
      <c r="E50" s="433">
        <f t="shared" si="12"/>
        <v>580000</v>
      </c>
      <c r="F50" s="366"/>
      <c r="G50" s="406" t="str">
        <f>L78</f>
        <v>Investment 2 Strathpine - Mortgage</v>
      </c>
      <c r="H50" s="201"/>
      <c r="I50" s="434">
        <f>M78</f>
        <v>230000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15868312.100483183</v>
      </c>
      <c r="T50" s="252"/>
      <c r="U50" s="254">
        <f t="shared" si="4"/>
        <v>1277572.8697184192</v>
      </c>
      <c r="V50" s="254">
        <f t="shared" si="5"/>
        <v>328825.45178705058</v>
      </c>
      <c r="W50" s="252">
        <f t="shared" si="6"/>
        <v>9727000</v>
      </c>
      <c r="X50" s="252">
        <f t="shared" si="2"/>
        <v>0</v>
      </c>
      <c r="Y50" s="252">
        <f t="shared" si="1"/>
        <v>7747710.4219886512</v>
      </c>
      <c r="Z50" s="255"/>
      <c r="AA50" s="256"/>
      <c r="AB50" s="256"/>
      <c r="AC50" s="256"/>
    </row>
    <row r="51" spans="2:29" s="17" customFormat="1" ht="45" x14ac:dyDescent="0.45">
      <c r="B51" s="406" t="str">
        <f t="shared" si="10"/>
        <v>Investment 3 - Mt Sheridan value</v>
      </c>
      <c r="C51" s="366"/>
      <c r="D51" s="438">
        <f t="shared" si="11"/>
        <v>40000</v>
      </c>
      <c r="E51" s="433">
        <f t="shared" si="12"/>
        <v>820000</v>
      </c>
      <c r="F51" s="366"/>
      <c r="G51" s="406" t="str">
        <f>L79</f>
        <v>Investment 3 Mt Sheridan - Mortgage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15960877.254402669</v>
      </c>
      <c r="T51" s="252"/>
      <c r="U51" s="254">
        <f t="shared" si="4"/>
        <v>1298219.3102994058</v>
      </c>
      <c r="V51" s="254">
        <f t="shared" si="5"/>
        <v>335781.20647977269</v>
      </c>
      <c r="W51" s="252">
        <f t="shared" si="6"/>
        <v>9727000</v>
      </c>
      <c r="X51" s="252">
        <f t="shared" si="2"/>
        <v>0</v>
      </c>
      <c r="Y51" s="252">
        <f t="shared" si="1"/>
        <v>7867877.7711818479</v>
      </c>
      <c r="Z51" s="255"/>
      <c r="AA51" s="256"/>
      <c r="AB51" s="256"/>
      <c r="AC51" s="256"/>
    </row>
    <row r="52" spans="2:29" s="17" customFormat="1" ht="45" x14ac:dyDescent="0.45">
      <c r="B52" s="406" t="str">
        <f t="shared" si="10"/>
        <v>Investment 4 - Eimeo value</v>
      </c>
      <c r="C52" s="366"/>
      <c r="D52" s="438">
        <f t="shared" si="11"/>
        <v>66000</v>
      </c>
      <c r="E52" s="433">
        <f t="shared" si="12"/>
        <v>890000</v>
      </c>
      <c r="F52" s="366"/>
      <c r="G52" s="406" t="str">
        <f>L80</f>
        <v>Investment 4 Eimeo - Mortgage</v>
      </c>
      <c r="H52" s="201"/>
      <c r="I52" s="434">
        <f>M80</f>
        <v>824000</v>
      </c>
      <c r="J52" s="18"/>
      <c r="K52" s="205"/>
      <c r="L52" s="212" t="s">
        <v>77</v>
      </c>
      <c r="M52" s="223">
        <v>29728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16053982.371720018</v>
      </c>
      <c r="T52" s="252">
        <f>$V$4</f>
        <v>2000000</v>
      </c>
      <c r="U52" s="254">
        <f t="shared" si="4"/>
        <v>1319037.8045519008</v>
      </c>
      <c r="V52" s="254">
        <f t="shared" si="5"/>
        <v>342736.9611724948</v>
      </c>
      <c r="W52" s="252">
        <f t="shared" si="6"/>
        <v>9727000</v>
      </c>
      <c r="X52" s="252">
        <f t="shared" si="2"/>
        <v>2000000</v>
      </c>
      <c r="Y52" s="252">
        <f t="shared" si="1"/>
        <v>9988757.1374444105</v>
      </c>
      <c r="Z52" s="255"/>
      <c r="AA52" s="256"/>
      <c r="AB52" s="256"/>
      <c r="AC52" s="256"/>
    </row>
    <row r="53" spans="2:29" s="17" customFormat="1" ht="45" x14ac:dyDescent="0.45">
      <c r="B53" s="406" t="str">
        <f t="shared" si="10"/>
        <v>Stocks Value</v>
      </c>
      <c r="C53" s="366"/>
      <c r="D53" s="438">
        <f t="shared" si="11"/>
        <v>-200000</v>
      </c>
      <c r="E53" s="433">
        <f t="shared" si="12"/>
        <v>0</v>
      </c>
      <c r="F53" s="366"/>
      <c r="G53" s="406" t="str">
        <f>L81</f>
        <v>Stocks Loan</v>
      </c>
      <c r="H53" s="201"/>
      <c r="I53" s="434">
        <f>M81</f>
        <v>200000</v>
      </c>
      <c r="K53" s="206"/>
      <c r="L53" s="212" t="s">
        <v>344</v>
      </c>
      <c r="M53" s="223">
        <v>11800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18147630.60222172</v>
      </c>
      <c r="T53" s="252"/>
      <c r="U53" s="254">
        <f t="shared" si="4"/>
        <v>1340029.7862565001</v>
      </c>
      <c r="V53" s="254">
        <f t="shared" si="5"/>
        <v>349692.71586521692</v>
      </c>
      <c r="W53" s="252">
        <f t="shared" si="6"/>
        <v>11727000</v>
      </c>
      <c r="X53" s="252">
        <f t="shared" si="2"/>
        <v>0</v>
      </c>
      <c r="Y53" s="252">
        <f t="shared" si="1"/>
        <v>8110353.1043434367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 t="s">
        <v>345</v>
      </c>
      <c r="M54" s="223">
        <v>77700</v>
      </c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18253491.780734681</v>
      </c>
      <c r="T54" s="252"/>
      <c r="U54" s="254">
        <f t="shared" si="4"/>
        <v>1361196.7011419709</v>
      </c>
      <c r="V54" s="254">
        <f t="shared" si="5"/>
        <v>356648.47055793903</v>
      </c>
      <c r="W54" s="252">
        <f t="shared" si="6"/>
        <v>11727000</v>
      </c>
      <c r="X54" s="252">
        <f t="shared" si="2"/>
        <v>0</v>
      </c>
      <c r="Y54" s="252">
        <f t="shared" si="1"/>
        <v>8244336.9524345919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18359970.482788965</v>
      </c>
      <c r="T55" s="252"/>
      <c r="U55" s="254">
        <f t="shared" si="4"/>
        <v>1382540.0069848206</v>
      </c>
      <c r="V55" s="254">
        <f t="shared" si="5"/>
        <v>363604.22525066114</v>
      </c>
      <c r="W55" s="252">
        <f t="shared" si="6"/>
        <v>11727000</v>
      </c>
      <c r="X55" s="252">
        <f t="shared" si="2"/>
        <v>0</v>
      </c>
      <c r="Y55" s="252">
        <f t="shared" si="1"/>
        <v>8379114.7150244489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8153228</v>
      </c>
      <c r="F56" s="366"/>
      <c r="G56" s="441"/>
      <c r="H56" s="420"/>
      <c r="I56" s="442"/>
      <c r="J56" s="18"/>
      <c r="K56" s="205"/>
      <c r="L56" s="212" t="s">
        <v>80</v>
      </c>
      <c r="M56" s="223">
        <v>233000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18467070.310605235</v>
      </c>
      <c r="T56" s="252"/>
      <c r="U56" s="254">
        <f t="shared" si="4"/>
        <v>1404061.1737096941</v>
      </c>
      <c r="V56" s="254">
        <f t="shared" si="5"/>
        <v>370559.97994338325</v>
      </c>
      <c r="W56" s="252">
        <f t="shared" si="6"/>
        <v>11727000</v>
      </c>
      <c r="X56" s="252">
        <f t="shared" si="2"/>
        <v>0</v>
      </c>
      <c r="Y56" s="252">
        <f t="shared" si="1"/>
        <v>8514691.4642583132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7733228</v>
      </c>
      <c r="F57" s="416"/>
      <c r="G57" s="553" t="s">
        <v>59</v>
      </c>
      <c r="H57" s="554"/>
      <c r="I57" s="555">
        <f>SUM(I38:I56)</f>
        <v>3727000</v>
      </c>
      <c r="K57" s="205"/>
      <c r="L57" s="212" t="s">
        <v>341</v>
      </c>
      <c r="M57" s="223">
        <v>301000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18574794.8874171</v>
      </c>
      <c r="T57" s="252"/>
      <c r="U57" s="254">
        <f t="shared" si="4"/>
        <v>1425761.6834906081</v>
      </c>
      <c r="V57" s="254">
        <f t="shared" si="5"/>
        <v>377515.73463610536</v>
      </c>
      <c r="W57" s="252">
        <f t="shared" si="6"/>
        <v>11727000</v>
      </c>
      <c r="X57" s="252">
        <f t="shared" si="2"/>
        <v>0</v>
      </c>
      <c r="Y57" s="252">
        <f t="shared" si="1"/>
        <v>8651072.3055438139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18683147.8575937</v>
      </c>
      <c r="T58" s="252"/>
      <c r="U58" s="254">
        <f t="shared" si="4"/>
        <v>1447643.0308530298</v>
      </c>
      <c r="V58" s="254">
        <f t="shared" si="5"/>
        <v>384471.48932882748</v>
      </c>
      <c r="W58" s="252">
        <f t="shared" si="6"/>
        <v>11727000</v>
      </c>
      <c r="X58" s="252">
        <f t="shared" si="2"/>
        <v>0</v>
      </c>
      <c r="Y58" s="252">
        <f t="shared" si="1"/>
        <v>8788262.3777755573</v>
      </c>
      <c r="Z58" s="255"/>
      <c r="AA58" s="255"/>
      <c r="AB58" s="255"/>
      <c r="AC58" s="255"/>
    </row>
    <row r="59" spans="2:29" s="17" customFormat="1" ht="45" x14ac:dyDescent="0.45">
      <c r="B59" s="489"/>
      <c r="C59" s="490"/>
      <c r="D59" s="490"/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18792132.886762999</v>
      </c>
      <c r="T59" s="252"/>
      <c r="U59" s="254">
        <f t="shared" si="4"/>
        <v>1469706.7227768051</v>
      </c>
      <c r="V59" s="254">
        <f t="shared" si="5"/>
        <v>391427.24402154959</v>
      </c>
      <c r="W59" s="252">
        <f t="shared" si="6"/>
        <v>11727000</v>
      </c>
      <c r="X59" s="252">
        <f t="shared" si="2"/>
        <v>0</v>
      </c>
      <c r="Y59" s="252">
        <f t="shared" si="1"/>
        <v>8926266.8535613529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18901753.661935784</v>
      </c>
      <c r="T60" s="252"/>
      <c r="U60" s="254">
        <f t="shared" si="4"/>
        <v>1491954.278799945</v>
      </c>
      <c r="V60" s="254">
        <f t="shared" si="5"/>
        <v>398382.9987142717</v>
      </c>
      <c r="W60" s="252">
        <f t="shared" si="6"/>
        <v>11727000</v>
      </c>
      <c r="X60" s="252">
        <f t="shared" si="2"/>
        <v>0</v>
      </c>
      <c r="Y60" s="252">
        <f t="shared" si="1"/>
        <v>9065090.9394499995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19012013.891630411</v>
      </c>
      <c r="T61" s="252"/>
      <c r="U61" s="254">
        <f t="shared" si="4"/>
        <v>1514387.2311232779</v>
      </c>
      <c r="V61" s="254">
        <f t="shared" si="5"/>
        <v>405338.75340699381</v>
      </c>
      <c r="W61" s="252">
        <f t="shared" si="6"/>
        <v>11727000</v>
      </c>
      <c r="X61" s="252">
        <f t="shared" si="2"/>
        <v>0</v>
      </c>
      <c r="Y61" s="252">
        <f t="shared" si="1"/>
        <v>9204739.8761606812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335</v>
      </c>
      <c r="M62" s="223">
        <v>3670000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19122917.305998255</v>
      </c>
      <c r="T62" s="252"/>
      <c r="U62" s="254">
        <f t="shared" si="4"/>
        <v>1537007.1247159718</v>
      </c>
      <c r="V62" s="254">
        <f t="shared" si="5"/>
        <v>412294.50809971592</v>
      </c>
      <c r="W62" s="252">
        <f t="shared" si="6"/>
        <v>11727000</v>
      </c>
      <c r="X62" s="252">
        <f t="shared" si="2"/>
        <v>0</v>
      </c>
      <c r="Y62" s="252">
        <f t="shared" si="1"/>
        <v>9345218.9388139434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1120000</v>
      </c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19234467.656949911</v>
      </c>
      <c r="T63" s="252"/>
      <c r="U63" s="254">
        <f t="shared" si="4"/>
        <v>1559815.5174219382</v>
      </c>
      <c r="V63" s="254">
        <f t="shared" si="5"/>
        <v>419250.26279243804</v>
      </c>
      <c r="W63" s="252">
        <f t="shared" si="6"/>
        <v>11727000</v>
      </c>
      <c r="X63" s="252">
        <f t="shared" si="2"/>
        <v>0</v>
      </c>
      <c r="Y63" s="252">
        <f t="shared" si="1"/>
        <v>9486533.437164288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19346668.718282118</v>
      </c>
      <c r="T64" s="252">
        <f>$V$4</f>
        <v>2000000</v>
      </c>
      <c r="U64" s="254">
        <f t="shared" si="4"/>
        <v>1582813.9800671211</v>
      </c>
      <c r="V64" s="254">
        <f t="shared" si="5"/>
        <v>426206.01748516015</v>
      </c>
      <c r="W64" s="252">
        <f t="shared" si="6"/>
        <v>11727000</v>
      </c>
      <c r="X64" s="252">
        <f t="shared" si="2"/>
        <v>2000000</v>
      </c>
      <c r="Y64" s="252">
        <f t="shared" si="1"/>
        <v>11628688.715834402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4006228</v>
      </c>
      <c r="E65" s="200"/>
      <c r="F65" s="201"/>
      <c r="G65" s="202" t="s">
        <v>158</v>
      </c>
      <c r="H65" s="203" t="s">
        <v>114</v>
      </c>
      <c r="I65" s="204">
        <f>I19-I32</f>
        <v>6955.7546927220974</v>
      </c>
      <c r="J65" s="18"/>
      <c r="K65" s="205"/>
      <c r="L65" s="212" t="s">
        <v>214</v>
      </c>
      <c r="M65" s="223">
        <v>820000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21459524.28580543</v>
      </c>
      <c r="T65" s="252"/>
      <c r="U65" s="254">
        <f t="shared" si="4"/>
        <v>1606004.0965676804</v>
      </c>
      <c r="V65" s="254">
        <f t="shared" si="5"/>
        <v>433161.77217788226</v>
      </c>
      <c r="W65" s="252">
        <f t="shared" si="6"/>
        <v>13727000</v>
      </c>
      <c r="X65" s="252">
        <f t="shared" si="2"/>
        <v>0</v>
      </c>
      <c r="Y65" s="252">
        <f t="shared" si="1"/>
        <v>9771690.154550992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890000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21584704.844139297</v>
      </c>
      <c r="T66" s="252"/>
      <c r="U66" s="254">
        <f t="shared" si="4"/>
        <v>1629387.4640390777</v>
      </c>
      <c r="V66" s="254">
        <f t="shared" si="5"/>
        <v>440117.52687060437</v>
      </c>
      <c r="W66" s="252">
        <f t="shared" si="6"/>
        <v>13727000</v>
      </c>
      <c r="X66" s="252">
        <f t="shared" si="2"/>
        <v>0</v>
      </c>
      <c r="Y66" s="252">
        <f t="shared" si="1"/>
        <v>9927209.8350489773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4426228</v>
      </c>
      <c r="E67" s="459"/>
      <c r="F67" s="366"/>
      <c r="G67" s="461" t="s">
        <v>113</v>
      </c>
      <c r="H67" s="461" t="s">
        <v>115</v>
      </c>
      <c r="I67" s="462">
        <f>I65*12</f>
        <v>83469.056312665169</v>
      </c>
      <c r="K67" s="205"/>
      <c r="L67" s="214" t="s">
        <v>343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1505228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5842.8339418865626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3715000</v>
      </c>
      <c r="E72" s="464"/>
      <c r="F72" s="201"/>
      <c r="G72" s="195" t="s">
        <v>1</v>
      </c>
      <c r="H72" s="195" t="s">
        <v>114</v>
      </c>
      <c r="I72" s="196">
        <f>H5</f>
        <v>13151.666666666668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7080000</v>
      </c>
      <c r="E74" s="464"/>
      <c r="F74" s="201"/>
      <c r="G74" s="195" t="s">
        <v>251</v>
      </c>
      <c r="H74" s="195" t="s">
        <v>114</v>
      </c>
      <c r="I74" s="196">
        <f>I32-H5</f>
        <v>15044.245307277899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 t="s">
        <v>297</v>
      </c>
      <c r="C75" s="464"/>
      <c r="D75" s="569">
        <f>SUM(E41:E54)*0.07</f>
        <v>562380</v>
      </c>
      <c r="E75" s="464"/>
      <c r="F75" s="201"/>
      <c r="G75" s="456"/>
      <c r="H75" s="195" t="s">
        <v>115</v>
      </c>
      <c r="I75" s="196">
        <f>I74*12</f>
        <v>180530.94368733477</v>
      </c>
      <c r="K75" s="205"/>
      <c r="L75" s="212" t="s">
        <v>335</v>
      </c>
      <c r="M75" s="223">
        <v>1169000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/>
      <c r="C76" s="464"/>
      <c r="D76" s="469"/>
      <c r="E76" s="464"/>
      <c r="F76" s="366"/>
      <c r="G76" s="195" t="s">
        <v>125</v>
      </c>
      <c r="H76" s="195"/>
      <c r="I76" s="196">
        <f>I74*12/0.065</f>
        <v>2777399.1336513041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63" t="s">
        <v>101</v>
      </c>
      <c r="C77" s="464"/>
      <c r="D77" s="469">
        <f>SUM(D48:D53)</f>
        <v>3365000</v>
      </c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70"/>
      <c r="C78" s="464"/>
      <c r="D78" s="469"/>
      <c r="E78" s="464"/>
      <c r="F78" s="366"/>
      <c r="G78" s="366"/>
      <c r="H78" s="452"/>
      <c r="I78" s="473"/>
      <c r="K78" s="205"/>
      <c r="L78" s="212" t="s">
        <v>224</v>
      </c>
      <c r="M78" s="223">
        <v>230000</v>
      </c>
      <c r="N78" s="205"/>
      <c r="O78" s="29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 t="s">
        <v>29</v>
      </c>
      <c r="C79" s="464"/>
      <c r="D79" s="472">
        <f>D72/D74</f>
        <v>0.52471751412429379</v>
      </c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/>
      <c r="C80" s="464"/>
      <c r="D80" s="474"/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 t="s">
        <v>121</v>
      </c>
      <c r="C81" s="464"/>
      <c r="D81" s="469">
        <f>(80%-D79)*D74</f>
        <v>1949000.0000000002</v>
      </c>
      <c r="E81" s="464"/>
      <c r="F81" s="366"/>
      <c r="G81" s="380"/>
      <c r="H81" s="452"/>
      <c r="I81" s="407"/>
      <c r="K81" s="205"/>
      <c r="L81" s="212" t="s">
        <v>342</v>
      </c>
      <c r="M81" s="223">
        <v>200000</v>
      </c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/>
      <c r="C82" s="464"/>
      <c r="D82" s="474"/>
      <c r="E82" s="464"/>
      <c r="F82" s="366"/>
      <c r="G82" s="475" t="s">
        <v>162</v>
      </c>
      <c r="H82" s="476"/>
      <c r="I82" s="477">
        <f>SUM(E38:E39)+E43</f>
        <v>342528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63" t="s">
        <v>283</v>
      </c>
      <c r="C83" s="464"/>
      <c r="D83" s="562">
        <f>D81/0.2</f>
        <v>9745000</v>
      </c>
      <c r="E83" s="464"/>
      <c r="F83" s="366"/>
      <c r="G83" s="475" t="s">
        <v>163</v>
      </c>
      <c r="H83" s="475"/>
      <c r="I83" s="477">
        <f>SUM(E41:E42)</f>
        <v>233000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/>
      <c r="C84" s="366"/>
      <c r="D84" s="366"/>
      <c r="E84" s="452"/>
      <c r="F84" s="366"/>
      <c r="G84" s="464" t="s">
        <v>154</v>
      </c>
      <c r="H84" s="464"/>
      <c r="I84" s="478">
        <f>SUM(I82:I83)</f>
        <v>575528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51" t="s">
        <v>111</v>
      </c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06"/>
      <c r="C86" s="366"/>
      <c r="D86" s="366"/>
      <c r="E86" s="452"/>
      <c r="F86" s="366"/>
      <c r="G86" s="380" t="s">
        <v>127</v>
      </c>
      <c r="H86" s="452"/>
      <c r="I86" s="407"/>
      <c r="L86" s="119"/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79" t="s">
        <v>128</v>
      </c>
      <c r="C87" s="480"/>
      <c r="D87" s="481">
        <f>D90-D72</f>
        <v>-2767045.4461371228</v>
      </c>
      <c r="E87" s="480"/>
      <c r="F87" s="366"/>
      <c r="G87" s="201"/>
      <c r="H87" s="452"/>
      <c r="I87" s="407"/>
      <c r="L87" s="247"/>
      <c r="M87" s="120"/>
      <c r="O87" s="119" t="s">
        <v>340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 t="s">
        <v>112</v>
      </c>
      <c r="C88" s="366"/>
      <c r="D88" s="366"/>
      <c r="E88" s="452"/>
      <c r="F88" s="366"/>
      <c r="G88" s="482" t="s">
        <v>165</v>
      </c>
      <c r="H88" s="482"/>
      <c r="I88" s="483">
        <f>SUM(E38:E43)/(I32-H5)</f>
        <v>43.420456570459557</v>
      </c>
      <c r="L88" s="119" t="s">
        <v>337</v>
      </c>
      <c r="M88" s="120">
        <f>M75-M57</f>
        <v>868000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51"/>
      <c r="C89" s="366"/>
      <c r="D89" s="366"/>
      <c r="E89" s="380"/>
      <c r="F89" s="366"/>
      <c r="G89" s="482" t="s">
        <v>166</v>
      </c>
      <c r="H89" s="482"/>
      <c r="I89" s="483">
        <f>SUM(E38:E43)/(I32-H5)/12</f>
        <v>3.6183713808716296</v>
      </c>
      <c r="L89" s="119" t="s">
        <v>338</v>
      </c>
      <c r="M89" s="120">
        <v>50000</v>
      </c>
      <c r="O89" s="120">
        <f>M88-M89</f>
        <v>818000</v>
      </c>
    </row>
    <row r="90" spans="2:26" ht="45" x14ac:dyDescent="0.45">
      <c r="B90" s="479" t="s">
        <v>117</v>
      </c>
      <c r="C90" s="480"/>
      <c r="D90" s="481">
        <f>PV(8%/12,30*12,H24,0)*-1</f>
        <v>947954.55386287742</v>
      </c>
      <c r="E90" s="480"/>
      <c r="F90" s="366"/>
      <c r="G90" s="482" t="s">
        <v>161</v>
      </c>
      <c r="H90" s="482"/>
      <c r="I90" s="483">
        <f>H24/(I32-H5)</f>
        <v>0.46235318227343297</v>
      </c>
      <c r="L90" s="119" t="s">
        <v>309</v>
      </c>
      <c r="M90" s="120">
        <v>140000</v>
      </c>
      <c r="O90" s="120">
        <f>O89-M90</f>
        <v>678000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O91" s="120"/>
    </row>
    <row r="92" spans="2:26" ht="35" customHeight="1" x14ac:dyDescent="0.35">
      <c r="D92" s="99"/>
      <c r="E92" s="22"/>
      <c r="L92" s="119" t="s">
        <v>308</v>
      </c>
      <c r="M92" s="120">
        <v>380000</v>
      </c>
      <c r="O92" s="120">
        <f>O90-M92</f>
        <v>298000</v>
      </c>
    </row>
    <row r="93" spans="2:26" ht="35" customHeight="1" x14ac:dyDescent="0.35">
      <c r="D93" s="99"/>
      <c r="E93" s="98"/>
      <c r="F93" s="99"/>
      <c r="G93" s="99"/>
      <c r="H93" s="99"/>
      <c r="L93" s="119" t="s">
        <v>286</v>
      </c>
      <c r="M93" s="120">
        <v>480000</v>
      </c>
      <c r="O93" s="120">
        <f>O92-M93</f>
        <v>-182000</v>
      </c>
    </row>
    <row r="94" spans="2:26" ht="35" customHeight="1" x14ac:dyDescent="0.35">
      <c r="D94" s="99"/>
      <c r="E94" s="98"/>
      <c r="F94" s="99"/>
      <c r="G94" s="99"/>
      <c r="H94" s="99"/>
      <c r="L94" s="247"/>
      <c r="O94" s="120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246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M97" s="293">
        <f>SUM(M88-M89-M90-M92-M93)</f>
        <v>-182000</v>
      </c>
      <c r="O97" s="12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O98" s="12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41528</v>
      </c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534000</v>
      </c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864000</v>
      </c>
      <c r="I102" s="270" t="s">
        <v>212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1439528</v>
      </c>
      <c r="I104" s="270">
        <f>H104*0.075</f>
        <v>107964.59999999999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</row>
    <row r="107" spans="2:15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5" ht="35" x14ac:dyDescent="0.35">
      <c r="B108" s="270"/>
      <c r="C108" s="270"/>
      <c r="D108" s="273"/>
      <c r="E108" s="270"/>
      <c r="F108" s="271"/>
      <c r="G108" s="271"/>
      <c r="H108" s="271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F2A4-EF70-8743-8B65-B5EB5E78C4E1}">
  <dimension ref="B1:AI166"/>
  <sheetViews>
    <sheetView showGridLines="0" topLeftCell="H92" zoomScale="50" zoomScaleNormal="50" workbookViewId="0">
      <selection activeCell="M118" sqref="M118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6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36.6640625" style="18" customWidth="1"/>
    <col min="15" max="15" width="29.66406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0.09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1000000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SUM(D8:D19)</f>
        <v>14248.202666666668</v>
      </c>
      <c r="I5" s="377">
        <f>H5*12</f>
        <v>170978.43200000003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140984.76</v>
      </c>
      <c r="D6" s="378">
        <f>M6</f>
        <v>11748.730000000001</v>
      </c>
      <c r="E6" s="379"/>
      <c r="F6" s="380"/>
      <c r="G6" s="365"/>
      <c r="H6" s="381"/>
      <c r="I6" s="382"/>
      <c r="K6" s="205"/>
      <c r="L6" s="212" t="s">
        <v>70</v>
      </c>
      <c r="M6" s="223">
        <f>(IF(N6&lt;=18200,N6,
 IF(N6&lt;=45000,N6-(N6-18200)*0.16,
 IF(N6&lt;=135000,N6-(4288+(N6-45000)*0.3),
 IF(N6&lt;=190000,N6-(31288+(N6-135000)*0.37),
 N6-(51638+(N6-190000)*0.45))))))*0.98/12</f>
        <v>11748.730000000001</v>
      </c>
      <c r="N6" s="498">
        <v>200000</v>
      </c>
      <c r="O6" s="582">
        <f>N6+(SUM(E16+E18+E14)*12/2)</f>
        <v>189438.8</v>
      </c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140984.76</v>
      </c>
      <c r="D7" s="378">
        <f>M7</f>
        <v>11748.730000000001</v>
      </c>
      <c r="E7" s="383"/>
      <c r="F7" s="370"/>
      <c r="G7" s="365"/>
      <c r="H7" s="201"/>
      <c r="I7" s="384"/>
      <c r="K7" s="205"/>
      <c r="L7" s="212" t="s">
        <v>71</v>
      </c>
      <c r="M7" s="223">
        <f>(IF(N7&lt;=18200,N7,
 IF(N7&lt;=45000,N7-(N7-18200)*0.16,
 IF(N7&lt;=135000,N7-(4288+(N7-45000)*0.3),
 IF(N7&lt;=190000,N7-(31288+(N7-135000)*0.37),
 N7-(51638+(N7-190000)*0.45))))))*0.98/12</f>
        <v>11748.730000000001</v>
      </c>
      <c r="N7" s="498">
        <f>N6</f>
        <v>200000</v>
      </c>
      <c r="O7" s="120"/>
      <c r="P7" s="249">
        <v>1</v>
      </c>
      <c r="Q7" s="251">
        <f ca="1">TODAY()</f>
        <v>46091</v>
      </c>
      <c r="R7" s="251" t="str">
        <f t="shared" ref="R7:R70" ca="1" si="0">TEXT($Q7,"MMMM")&amp;TEXT($Q7," YYYY")</f>
        <v>March 2026</v>
      </c>
      <c r="S7" s="252">
        <f>SUM(E48:E54)</f>
        <v>6660000</v>
      </c>
      <c r="T7" s="252"/>
      <c r="U7" s="252">
        <f>SUM(E41:E43)</f>
        <v>0</v>
      </c>
      <c r="V7" s="252">
        <f>$E$38</f>
        <v>10000</v>
      </c>
      <c r="W7" s="252">
        <f>$I$57</f>
        <v>3228000</v>
      </c>
      <c r="X7" s="252">
        <f>T7</f>
        <v>0</v>
      </c>
      <c r="Y7" s="252">
        <f t="shared" ref="Y7:Y66" si="1">SUM(S7:V7)-W7</f>
        <v>3442000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6709950</v>
      </c>
      <c r="T8" s="252"/>
      <c r="U8" s="254">
        <f>($V$2/12+1)*U7+$V$3</f>
        <v>10000</v>
      </c>
      <c r="V8" s="254">
        <f>V7+$I$65</f>
        <v>21816.486255343723</v>
      </c>
      <c r="W8" s="252">
        <f>W7+X7</f>
        <v>3228000</v>
      </c>
      <c r="X8" s="252">
        <f t="shared" ref="X8:X66" si="2">T8</f>
        <v>0</v>
      </c>
      <c r="Y8" s="252">
        <f t="shared" si="1"/>
        <v>3513766.486255344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6760274.625</v>
      </c>
      <c r="T9" s="252"/>
      <c r="U9" s="254">
        <f t="shared" ref="U9:U73" si="4">($V$2/12+1)*U8+$V$3</f>
        <v>20083.333333333336</v>
      </c>
      <c r="V9" s="254">
        <f t="shared" ref="V9:V73" si="5">V8+$I$65</f>
        <v>33632.972510687447</v>
      </c>
      <c r="W9" s="252">
        <f t="shared" ref="W9:W66" si="6">W8+X8</f>
        <v>3228000</v>
      </c>
      <c r="X9" s="252">
        <f t="shared" si="2"/>
        <v>0</v>
      </c>
      <c r="Y9" s="252">
        <f t="shared" si="1"/>
        <v>3585990.9308440201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73" ca="1" si="7">Q9+30</f>
        <v>46181</v>
      </c>
      <c r="R10" s="251" t="str">
        <f t="shared" ca="1" si="0"/>
        <v>June 2026</v>
      </c>
      <c r="S10" s="252">
        <f t="shared" si="3"/>
        <v>6810976.6846875008</v>
      </c>
      <c r="T10" s="252"/>
      <c r="U10" s="254">
        <f t="shared" si="4"/>
        <v>30250.694444444445</v>
      </c>
      <c r="V10" s="254">
        <f t="shared" si="5"/>
        <v>45449.458766031166</v>
      </c>
      <c r="W10" s="252">
        <f t="shared" si="6"/>
        <v>3228000</v>
      </c>
      <c r="X10" s="252">
        <f t="shared" si="2"/>
        <v>0</v>
      </c>
      <c r="Y10" s="252">
        <f t="shared" si="1"/>
        <v>3658676.8378979759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6862059.0098226573</v>
      </c>
      <c r="T11" s="252"/>
      <c r="U11" s="254">
        <f t="shared" si="4"/>
        <v>40502.783564814818</v>
      </c>
      <c r="V11" s="254">
        <f t="shared" si="5"/>
        <v>57265.945021374893</v>
      </c>
      <c r="W11" s="252">
        <f t="shared" si="6"/>
        <v>3228000</v>
      </c>
      <c r="X11" s="252">
        <f t="shared" si="2"/>
        <v>0</v>
      </c>
      <c r="Y11" s="252">
        <f t="shared" si="1"/>
        <v>3731827.7384088468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6913524.4523963276</v>
      </c>
      <c r="T12" s="252"/>
      <c r="U12" s="254">
        <f t="shared" si="4"/>
        <v>50840.306761188273</v>
      </c>
      <c r="V12" s="254">
        <f t="shared" si="5"/>
        <v>69082.43127671862</v>
      </c>
      <c r="W12" s="252">
        <f t="shared" si="6"/>
        <v>3228000</v>
      </c>
      <c r="X12" s="252">
        <f t="shared" si="2"/>
        <v>0</v>
      </c>
      <c r="Y12" s="252">
        <f t="shared" si="1"/>
        <v>3805447.1904342342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6965375.8857893003</v>
      </c>
      <c r="T13" s="252"/>
      <c r="U13" s="254">
        <f t="shared" si="4"/>
        <v>61263.975984198172</v>
      </c>
      <c r="V13" s="254">
        <f t="shared" si="5"/>
        <v>80898.917532062347</v>
      </c>
      <c r="W13" s="252">
        <f t="shared" si="6"/>
        <v>3228000</v>
      </c>
      <c r="X13" s="252">
        <f t="shared" si="2"/>
        <v>0</v>
      </c>
      <c r="Y13" s="252">
        <f t="shared" si="1"/>
        <v>3879538.7793055605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 t="shared" ref="C14:C18" si="8">D14*12</f>
        <v>32240</v>
      </c>
      <c r="D14" s="378">
        <f>M14*52/12</f>
        <v>2686.6666666666665</v>
      </c>
      <c r="E14" s="392">
        <f>SUM(D14-D23)</f>
        <v>-369.66000000000031</v>
      </c>
      <c r="F14" s="391"/>
      <c r="G14" s="544" t="s">
        <v>68</v>
      </c>
      <c r="H14" s="539">
        <f>C14/E49</f>
        <v>3.2565656565656569E-2</v>
      </c>
      <c r="I14" s="542">
        <f>(D14-M29)/E49*12</f>
        <v>2.5204929292929296E-2</v>
      </c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7017616.2049327204</v>
      </c>
      <c r="T14" s="252"/>
      <c r="U14" s="254">
        <f t="shared" si="4"/>
        <v>71774.509117399823</v>
      </c>
      <c r="V14" s="254">
        <f t="shared" si="5"/>
        <v>92715.403787406074</v>
      </c>
      <c r="W14" s="252">
        <f t="shared" si="6"/>
        <v>3228000</v>
      </c>
      <c r="X14" s="252">
        <f t="shared" si="2"/>
        <v>0</v>
      </c>
      <c r="Y14" s="252">
        <f t="shared" si="1"/>
        <v>3954106.1178375268</v>
      </c>
      <c r="Z14" s="255"/>
      <c r="AA14" s="255"/>
      <c r="AB14" s="255"/>
      <c r="AC14" s="255"/>
    </row>
    <row r="15" spans="2:35" ht="45" x14ac:dyDescent="0.45">
      <c r="B15" s="365" t="s">
        <v>316</v>
      </c>
      <c r="C15" s="391">
        <f t="shared" ref="C15" si="9">D15*12</f>
        <v>39156</v>
      </c>
      <c r="D15" s="378">
        <f>M15*52/12</f>
        <v>3263</v>
      </c>
      <c r="E15" s="392">
        <f>SUM(D15-D24)</f>
        <v>1349.6666666666667</v>
      </c>
      <c r="F15" s="391"/>
      <c r="G15" s="544" t="s">
        <v>69</v>
      </c>
      <c r="H15" s="539">
        <f>C15/E50</f>
        <v>6.5259999999999999E-2</v>
      </c>
      <c r="I15" s="542">
        <f>(D15-M30)/E50*12</f>
        <v>6.5259999999999999E-2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7070248.3264697166</v>
      </c>
      <c r="T15" s="252"/>
      <c r="U15" s="254">
        <f t="shared" si="4"/>
        <v>82372.630026711486</v>
      </c>
      <c r="V15" s="254">
        <f t="shared" si="5"/>
        <v>104531.8900427498</v>
      </c>
      <c r="W15" s="252">
        <f t="shared" si="6"/>
        <v>3228000</v>
      </c>
      <c r="X15" s="252">
        <f t="shared" si="2"/>
        <v>0</v>
      </c>
      <c r="Y15" s="252">
        <f t="shared" si="1"/>
        <v>4029152.8465391779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 t="shared" si="8"/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5.0613333333333337E-2</v>
      </c>
      <c r="I16" s="542">
        <f>(D16-M31)/E51*12</f>
        <v>3.7447359999999999E-2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7123275.1889182404</v>
      </c>
      <c r="T16" s="252"/>
      <c r="U16" s="254">
        <f t="shared" si="4"/>
        <v>93059.068610267408</v>
      </c>
      <c r="V16" s="254">
        <f t="shared" si="5"/>
        <v>116348.37629809353</v>
      </c>
      <c r="W16" s="252">
        <f t="shared" si="6"/>
        <v>3228000</v>
      </c>
      <c r="X16" s="252">
        <f t="shared" si="2"/>
        <v>0</v>
      </c>
      <c r="Y16" s="252">
        <f t="shared" si="1"/>
        <v>4104682.6338266013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 t="shared" si="8"/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5.3902439024390243E-2</v>
      </c>
      <c r="I17" s="542">
        <f>(D17-M32)/E52*12</f>
        <v>4.1302341463414632E-2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7176699.7528351275</v>
      </c>
      <c r="T17" s="252">
        <f>$V$4</f>
        <v>1000000</v>
      </c>
      <c r="U17" s="254">
        <f t="shared" si="4"/>
        <v>103834.56084868631</v>
      </c>
      <c r="V17" s="254">
        <f t="shared" si="5"/>
        <v>128164.86255343725</v>
      </c>
      <c r="W17" s="252">
        <f t="shared" si="6"/>
        <v>3228000</v>
      </c>
      <c r="X17" s="252">
        <f t="shared" si="2"/>
        <v>1000000</v>
      </c>
      <c r="Y17" s="252">
        <f t="shared" si="1"/>
        <v>5180699.1762372516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 t="shared" si="8"/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8230525.0009813914</v>
      </c>
      <c r="T18" s="252"/>
      <c r="U18" s="254">
        <f t="shared" si="4"/>
        <v>114699.84885575868</v>
      </c>
      <c r="V18" s="254">
        <f t="shared" si="5"/>
        <v>139981.34880878098</v>
      </c>
      <c r="W18" s="252">
        <f t="shared" si="6"/>
        <v>4228000</v>
      </c>
      <c r="X18" s="252">
        <f t="shared" si="2"/>
        <v>0</v>
      </c>
      <c r="Y18" s="252">
        <f t="shared" si="1"/>
        <v>4257206.1986459307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>
        <f>SUM(E14:E17)*0.4*-12</f>
        <v>7342.4319999999989</v>
      </c>
      <c r="D19" s="535">
        <f>C19/12</f>
        <v>611.8693333333332</v>
      </c>
      <c r="E19" s="534" cm="1">
        <f t="array" ref="E19">N6+(SUM(E16:E18+E14)*12/2)</f>
        <v>178288.04</v>
      </c>
      <c r="F19" s="391"/>
      <c r="G19" s="547" t="s">
        <v>56</v>
      </c>
      <c r="H19" s="548" t="s">
        <v>57</v>
      </c>
      <c r="I19" s="549">
        <f>SUM(D6:D19)</f>
        <v>37745.662666666678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8292253.9384887526</v>
      </c>
      <c r="T19" s="252"/>
      <c r="U19" s="254">
        <f t="shared" si="4"/>
        <v>125655.68092955666</v>
      </c>
      <c r="V19" s="254">
        <f t="shared" si="5"/>
        <v>151797.83506412469</v>
      </c>
      <c r="W19" s="252">
        <f t="shared" si="6"/>
        <v>4228000</v>
      </c>
      <c r="X19" s="252">
        <f t="shared" si="2"/>
        <v>0</v>
      </c>
      <c r="Y19" s="252">
        <f t="shared" si="1"/>
        <v>4341707.4544824343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8354445.8430274185</v>
      </c>
      <c r="T20" s="252"/>
      <c r="U20" s="254">
        <f t="shared" si="4"/>
        <v>136702.81160396963</v>
      </c>
      <c r="V20" s="254">
        <f t="shared" si="5"/>
        <v>163614.32131946841</v>
      </c>
      <c r="W20" s="252">
        <f t="shared" si="6"/>
        <v>4228000</v>
      </c>
      <c r="X20" s="252">
        <f t="shared" si="2"/>
        <v>0</v>
      </c>
      <c r="Y20" s="252">
        <f t="shared" si="1"/>
        <v>4426762.9759508558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8417104.186850125</v>
      </c>
      <c r="T21" s="252"/>
      <c r="U21" s="254">
        <f t="shared" si="4"/>
        <v>147842.00170066938</v>
      </c>
      <c r="V21" s="254">
        <f t="shared" si="5"/>
        <v>175430.80757481212</v>
      </c>
      <c r="W21" s="252">
        <f t="shared" si="6"/>
        <v>4228000</v>
      </c>
      <c r="X21" s="252">
        <f t="shared" si="2"/>
        <v>0</v>
      </c>
      <c r="Y21" s="252">
        <f t="shared" si="1"/>
        <v>4512376.9961256068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10">D22*12</f>
        <v>51182.806935875473</v>
      </c>
      <c r="D22" s="409">
        <f>PMT(M22/12, 25*12, -M75)</f>
        <v>4265.2339113229564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8480232.4682515021</v>
      </c>
      <c r="T22" s="252"/>
      <c r="U22" s="254">
        <f t="shared" si="4"/>
        <v>159074.0183815083</v>
      </c>
      <c r="V22" s="254">
        <f t="shared" si="5"/>
        <v>187247.29383015583</v>
      </c>
      <c r="W22" s="252">
        <f t="shared" si="6"/>
        <v>4228000</v>
      </c>
      <c r="X22" s="252">
        <f t="shared" si="2"/>
        <v>0</v>
      </c>
      <c r="Y22" s="252">
        <f t="shared" si="1"/>
        <v>4598553.7804631665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10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8543834.2117633894</v>
      </c>
      <c r="T23" s="252"/>
      <c r="U23" s="254">
        <f t="shared" si="4"/>
        <v>170399.63520135419</v>
      </c>
      <c r="V23" s="254">
        <f t="shared" si="5"/>
        <v>199063.78008549954</v>
      </c>
      <c r="W23" s="252">
        <f t="shared" si="6"/>
        <v>4228000</v>
      </c>
      <c r="X23" s="252">
        <f t="shared" si="2"/>
        <v>0</v>
      </c>
      <c r="Y23" s="252">
        <f t="shared" si="1"/>
        <v>4685297.6270502433</v>
      </c>
      <c r="Z23" s="255"/>
      <c r="AA23" s="255"/>
      <c r="AB23" s="255"/>
      <c r="AC23" s="255"/>
    </row>
    <row r="24" spans="2:29" ht="46" thickBot="1" x14ac:dyDescent="0.5">
      <c r="B24" s="365" t="s">
        <v>319</v>
      </c>
      <c r="C24" s="408">
        <f t="shared" si="10"/>
        <v>22960</v>
      </c>
      <c r="D24" s="409">
        <f>M24*I50/12+(M30)</f>
        <v>1913.3333333333333</v>
      </c>
      <c r="E24" s="411"/>
      <c r="F24" s="412"/>
      <c r="G24" s="413" t="s">
        <v>86</v>
      </c>
      <c r="H24" s="376">
        <f>I19-I32</f>
        <v>11816.486255343723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8607912.9683516156</v>
      </c>
      <c r="T24" s="252"/>
      <c r="U24" s="254">
        <f t="shared" si="4"/>
        <v>181819.63216136547</v>
      </c>
      <c r="V24" s="254">
        <f t="shared" si="5"/>
        <v>210880.26634084326</v>
      </c>
      <c r="W24" s="252">
        <f t="shared" si="6"/>
        <v>4228000</v>
      </c>
      <c r="X24" s="252">
        <f t="shared" si="2"/>
        <v>0</v>
      </c>
      <c r="Y24" s="252">
        <f t="shared" si="1"/>
        <v>4772612.8668538239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10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8672472.3156142533</v>
      </c>
      <c r="T25" s="252"/>
      <c r="U25" s="254">
        <f t="shared" si="4"/>
        <v>193334.79576271019</v>
      </c>
      <c r="V25" s="254">
        <f t="shared" si="5"/>
        <v>222696.75259618697</v>
      </c>
      <c r="W25" s="252">
        <f t="shared" si="6"/>
        <v>4228000</v>
      </c>
      <c r="X25" s="252">
        <f t="shared" si="2"/>
        <v>0</v>
      </c>
      <c r="Y25" s="252">
        <f t="shared" si="1"/>
        <v>4860503.86397315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10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8737515.8579813614</v>
      </c>
      <c r="T26" s="252"/>
      <c r="U26" s="254">
        <f t="shared" si="4"/>
        <v>204945.91906073276</v>
      </c>
      <c r="V26" s="254">
        <f t="shared" si="5"/>
        <v>234513.23885153068</v>
      </c>
      <c r="W26" s="252">
        <f t="shared" si="6"/>
        <v>4228000</v>
      </c>
      <c r="X26" s="252">
        <f t="shared" si="2"/>
        <v>0</v>
      </c>
      <c r="Y26" s="252">
        <f t="shared" si="1"/>
        <v>4948975.0158936251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10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8803047.2269162219</v>
      </c>
      <c r="T27" s="252"/>
      <c r="U27" s="254">
        <f t="shared" si="4"/>
        <v>216653.80171957219</v>
      </c>
      <c r="V27" s="254">
        <f t="shared" si="5"/>
        <v>246329.72510687439</v>
      </c>
      <c r="W27" s="252">
        <f t="shared" si="6"/>
        <v>4228000</v>
      </c>
      <c r="X27" s="252">
        <f t="shared" si="2"/>
        <v>0</v>
      </c>
      <c r="Y27" s="252">
        <f t="shared" si="1"/>
        <v>5038030.7537426688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8869070.0811180938</v>
      </c>
      <c r="T28" s="252">
        <f>$V$4</f>
        <v>1000000</v>
      </c>
      <c r="U28" s="254">
        <f t="shared" si="4"/>
        <v>228459.25006723529</v>
      </c>
      <c r="V28" s="254">
        <f t="shared" si="5"/>
        <v>258146.21136221811</v>
      </c>
      <c r="W28" s="252">
        <f t="shared" si="6"/>
        <v>4228000</v>
      </c>
      <c r="X28" s="252">
        <f t="shared" si="2"/>
        <v>1000000</v>
      </c>
      <c r="Y28" s="252">
        <f t="shared" si="1"/>
        <v>6127675.5425475482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9935588.1067264806</v>
      </c>
      <c r="T29" s="252"/>
      <c r="U29" s="254">
        <f t="shared" si="4"/>
        <v>240363.07715112891</v>
      </c>
      <c r="V29" s="254">
        <f t="shared" si="5"/>
        <v>269962.69761756185</v>
      </c>
      <c r="W29" s="252">
        <f t="shared" si="6"/>
        <v>5228000</v>
      </c>
      <c r="X29" s="252">
        <f t="shared" si="2"/>
        <v>0</v>
      </c>
      <c r="Y29" s="252">
        <f t="shared" si="1"/>
        <v>5217913.8814951722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317</v>
      </c>
      <c r="M30" s="532">
        <v>0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10010105.01752693</v>
      </c>
      <c r="T30" s="252"/>
      <c r="U30" s="254">
        <f t="shared" si="4"/>
        <v>252366.10279405498</v>
      </c>
      <c r="V30" s="254">
        <f t="shared" si="5"/>
        <v>281779.18387290556</v>
      </c>
      <c r="W30" s="252">
        <f t="shared" si="6"/>
        <v>5228000</v>
      </c>
      <c r="X30" s="252">
        <f t="shared" si="2"/>
        <v>0</v>
      </c>
      <c r="Y30" s="252">
        <f t="shared" si="1"/>
        <v>5316250.3041938916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10085180.805158382</v>
      </c>
      <c r="T31" s="252"/>
      <c r="U31" s="254">
        <f t="shared" si="4"/>
        <v>264469.15365067206</v>
      </c>
      <c r="V31" s="254">
        <f t="shared" si="5"/>
        <v>293595.67012824927</v>
      </c>
      <c r="W31" s="252">
        <f t="shared" si="6"/>
        <v>5228000</v>
      </c>
      <c r="X31" s="252">
        <f t="shared" si="2"/>
        <v>0</v>
      </c>
      <c r="Y31" s="252">
        <f t="shared" si="1"/>
        <v>5415245.6289373022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25929.176411322955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10160819.66119707</v>
      </c>
      <c r="T32" s="252"/>
      <c r="U32" s="254">
        <f t="shared" si="4"/>
        <v>276673.06326442765</v>
      </c>
      <c r="V32" s="254">
        <f t="shared" si="5"/>
        <v>305412.15638359298</v>
      </c>
      <c r="W32" s="252">
        <f t="shared" si="6"/>
        <v>5228000</v>
      </c>
      <c r="X32" s="252">
        <f t="shared" si="2"/>
        <v>0</v>
      </c>
      <c r="Y32" s="252">
        <f t="shared" si="1"/>
        <v>5514904.8808450904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10237025.808656048</v>
      </c>
      <c r="T33" s="252"/>
      <c r="U33" s="254">
        <f t="shared" si="4"/>
        <v>288978.67212496453</v>
      </c>
      <c r="V33" s="254">
        <f t="shared" si="5"/>
        <v>317228.6426389367</v>
      </c>
      <c r="W33" s="252">
        <f t="shared" si="6"/>
        <v>5228000</v>
      </c>
      <c r="X33" s="252">
        <f t="shared" si="2"/>
        <v>0</v>
      </c>
      <c r="Y33" s="252">
        <f t="shared" si="1"/>
        <v>5615233.1234199498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10313803.50222097</v>
      </c>
      <c r="T34" s="252"/>
      <c r="U34" s="254">
        <f t="shared" si="4"/>
        <v>301386.82772600593</v>
      </c>
      <c r="V34" s="254">
        <f t="shared" si="5"/>
        <v>329045.12889428041</v>
      </c>
      <c r="W34" s="252">
        <f t="shared" si="6"/>
        <v>5228000</v>
      </c>
      <c r="X34" s="252">
        <f t="shared" si="2"/>
        <v>0</v>
      </c>
      <c r="Y34" s="252">
        <f t="shared" si="1"/>
        <v>5716235.4588412568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10391157.028487628</v>
      </c>
      <c r="T35" s="252"/>
      <c r="U35" s="254">
        <f t="shared" si="4"/>
        <v>313898.38462372264</v>
      </c>
      <c r="V35" s="254">
        <f t="shared" si="5"/>
        <v>340861.61514962412</v>
      </c>
      <c r="W35" s="252">
        <f t="shared" si="6"/>
        <v>5228000</v>
      </c>
      <c r="X35" s="252">
        <f t="shared" si="2"/>
        <v>0</v>
      </c>
      <c r="Y35" s="252">
        <f t="shared" si="1"/>
        <v>5817917.0282609761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10469090.706201287</v>
      </c>
      <c r="T36" s="252"/>
      <c r="U36" s="254">
        <f t="shared" si="4"/>
        <v>326514.20449558698</v>
      </c>
      <c r="V36" s="254">
        <f t="shared" si="5"/>
        <v>352678.10140496783</v>
      </c>
      <c r="W36" s="252">
        <f t="shared" si="6"/>
        <v>5228000</v>
      </c>
      <c r="X36" s="252">
        <f t="shared" si="2"/>
        <v>0</v>
      </c>
      <c r="Y36" s="252">
        <f t="shared" si="1"/>
        <v>5920283.0121018421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10547608.886497797</v>
      </c>
      <c r="T37" s="252"/>
      <c r="U37" s="254">
        <f t="shared" si="4"/>
        <v>339235.15619971685</v>
      </c>
      <c r="V37" s="254">
        <f t="shared" si="5"/>
        <v>364494.58766031155</v>
      </c>
      <c r="W37" s="252">
        <f t="shared" si="6"/>
        <v>5228000</v>
      </c>
      <c r="X37" s="252">
        <f t="shared" si="2"/>
        <v>0</v>
      </c>
      <c r="Y37" s="252">
        <f t="shared" si="1"/>
        <v>6023338.6303578243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10626715.953146532</v>
      </c>
      <c r="T38" s="252"/>
      <c r="U38" s="254">
        <f t="shared" si="4"/>
        <v>352062.1158347145</v>
      </c>
      <c r="V38" s="254">
        <f t="shared" si="5"/>
        <v>376311.07391565526</v>
      </c>
      <c r="W38" s="252">
        <f t="shared" si="6"/>
        <v>5228000</v>
      </c>
      <c r="X38" s="252">
        <f t="shared" si="2"/>
        <v>0</v>
      </c>
      <c r="Y38" s="252">
        <f t="shared" si="1"/>
        <v>6127089.1428969018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10706416.322795132</v>
      </c>
      <c r="T39" s="252"/>
      <c r="U39" s="254">
        <f t="shared" si="4"/>
        <v>364995.96680000378</v>
      </c>
      <c r="V39" s="254">
        <f t="shared" si="5"/>
        <v>388127.56017099897</v>
      </c>
      <c r="W39" s="252">
        <f t="shared" si="6"/>
        <v>5228000</v>
      </c>
      <c r="X39" s="252">
        <f t="shared" si="2"/>
        <v>0</v>
      </c>
      <c r="Y39" s="252">
        <f t="shared" si="1"/>
        <v>6231539.8497661352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10786714.445216097</v>
      </c>
      <c r="T40" s="252">
        <f>$V$4</f>
        <v>1000000</v>
      </c>
      <c r="U40" s="254">
        <f t="shared" si="4"/>
        <v>378037.59985667048</v>
      </c>
      <c r="V40" s="254">
        <f t="shared" si="5"/>
        <v>399944.04642634268</v>
      </c>
      <c r="W40" s="252">
        <f t="shared" si="6"/>
        <v>5228000</v>
      </c>
      <c r="X40" s="252">
        <f t="shared" si="2"/>
        <v>1000000</v>
      </c>
      <c r="Y40" s="252">
        <f t="shared" si="1"/>
        <v>7336696.0914991107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11867614.803555219</v>
      </c>
      <c r="T41" s="252"/>
      <c r="U41" s="254">
        <f t="shared" si="4"/>
        <v>391187.91318880941</v>
      </c>
      <c r="V41" s="254">
        <f t="shared" si="5"/>
        <v>411760.5326816864</v>
      </c>
      <c r="W41" s="252">
        <f t="shared" si="6"/>
        <v>6228000</v>
      </c>
      <c r="X41" s="252">
        <f t="shared" si="2"/>
        <v>0</v>
      </c>
      <c r="Y41" s="252">
        <f t="shared" si="1"/>
        <v>6442563.2494257148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11956621.914581884</v>
      </c>
      <c r="T42" s="252"/>
      <c r="U42" s="254">
        <f t="shared" si="4"/>
        <v>404447.8124653828</v>
      </c>
      <c r="V42" s="254">
        <f t="shared" si="5"/>
        <v>423577.01893703011</v>
      </c>
      <c r="W42" s="252">
        <f t="shared" si="6"/>
        <v>6228000</v>
      </c>
      <c r="X42" s="252">
        <f t="shared" si="2"/>
        <v>0</v>
      </c>
      <c r="Y42" s="252">
        <f t="shared" si="1"/>
        <v>6556646.7459842972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12046296.578941248</v>
      </c>
      <c r="T43" s="252"/>
      <c r="U43" s="254">
        <f t="shared" si="4"/>
        <v>417818.21090259432</v>
      </c>
      <c r="V43" s="254">
        <f t="shared" si="5"/>
        <v>435393.50519237382</v>
      </c>
      <c r="W43" s="252">
        <f t="shared" si="6"/>
        <v>6228000</v>
      </c>
      <c r="X43" s="252">
        <f t="shared" si="2"/>
        <v>0</v>
      </c>
      <c r="Y43" s="252">
        <f t="shared" si="1"/>
        <v>6671508.2950362153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12136643.803283308</v>
      </c>
      <c r="T44" s="252"/>
      <c r="U44" s="254">
        <f t="shared" si="4"/>
        <v>431300.02932678262</v>
      </c>
      <c r="V44" s="254">
        <f t="shared" si="5"/>
        <v>447209.99144771753</v>
      </c>
      <c r="W44" s="252">
        <f t="shared" si="6"/>
        <v>6228000</v>
      </c>
      <c r="X44" s="252">
        <f t="shared" si="2"/>
        <v>0</v>
      </c>
      <c r="Y44" s="252">
        <f t="shared" si="1"/>
        <v>6787153.8240578081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12227668.631807933</v>
      </c>
      <c r="T45" s="252"/>
      <c r="U45" s="254">
        <f t="shared" si="4"/>
        <v>444894.19623783912</v>
      </c>
      <c r="V45" s="254">
        <f t="shared" si="5"/>
        <v>459026.47770306125</v>
      </c>
      <c r="W45" s="252">
        <f t="shared" si="6"/>
        <v>6228000</v>
      </c>
      <c r="X45" s="252">
        <f t="shared" si="2"/>
        <v>0</v>
      </c>
      <c r="Y45" s="252">
        <f t="shared" si="1"/>
        <v>6903589.3057488333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12319376.146546492</v>
      </c>
      <c r="T46" s="252"/>
      <c r="U46" s="254">
        <f t="shared" si="4"/>
        <v>458601.64787315443</v>
      </c>
      <c r="V46" s="254">
        <f t="shared" si="5"/>
        <v>470842.96395840496</v>
      </c>
      <c r="W46" s="252">
        <f t="shared" si="6"/>
        <v>6228000</v>
      </c>
      <c r="X46" s="252">
        <f t="shared" si="2"/>
        <v>0</v>
      </c>
      <c r="Y46" s="252">
        <f t="shared" si="1"/>
        <v>7020820.7583780512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12411771.467645591</v>
      </c>
      <c r="T47" s="252"/>
      <c r="U47" s="254">
        <f t="shared" si="4"/>
        <v>472423.32827209739</v>
      </c>
      <c r="V47" s="254">
        <f t="shared" si="5"/>
        <v>482659.45021374867</v>
      </c>
      <c r="W47" s="252">
        <f t="shared" si="6"/>
        <v>6228000</v>
      </c>
      <c r="X47" s="252">
        <f t="shared" si="2"/>
        <v>0</v>
      </c>
      <c r="Y47" s="252">
        <f t="shared" si="1"/>
        <v>7138854.2461314369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11">E48-I48</f>
        <v>2800000</v>
      </c>
      <c r="E48" s="433">
        <f t="shared" ref="E48:E53" si="12">M62</f>
        <v>3500000</v>
      </c>
      <c r="F48" s="366"/>
      <c r="G48" s="365" t="s">
        <v>6</v>
      </c>
      <c r="H48" s="201"/>
      <c r="I48" s="434">
        <f>M75</f>
        <v>700000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12504859.753652934</v>
      </c>
      <c r="T48" s="252"/>
      <c r="U48" s="254">
        <f t="shared" si="4"/>
        <v>486360.18934103154</v>
      </c>
      <c r="V48" s="254">
        <f t="shared" si="5"/>
        <v>494475.93646909238</v>
      </c>
      <c r="W48" s="252">
        <f t="shared" si="6"/>
        <v>6228000</v>
      </c>
      <c r="X48" s="252">
        <f t="shared" si="2"/>
        <v>0</v>
      </c>
      <c r="Y48" s="252">
        <f t="shared" si="1"/>
        <v>7257695.879463058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11"/>
        <v>478000</v>
      </c>
      <c r="E49" s="433">
        <f t="shared" si="12"/>
        <v>990000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12598646.201805333</v>
      </c>
      <c r="T49" s="252"/>
      <c r="U49" s="254">
        <f t="shared" si="4"/>
        <v>500413.19091887347</v>
      </c>
      <c r="V49" s="254">
        <f t="shared" si="5"/>
        <v>506292.4227244361</v>
      </c>
      <c r="W49" s="252">
        <f t="shared" si="6"/>
        <v>6228000</v>
      </c>
      <c r="X49" s="252">
        <f t="shared" si="2"/>
        <v>0</v>
      </c>
      <c r="Y49" s="252">
        <f t="shared" si="1"/>
        <v>7377351.8154486436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11"/>
        <v>200000</v>
      </c>
      <c r="E50" s="433">
        <f t="shared" si="12"/>
        <v>600000</v>
      </c>
      <c r="F50" s="366"/>
      <c r="G50" s="406" t="s">
        <v>318</v>
      </c>
      <c r="H50" s="201"/>
      <c r="I50" s="434">
        <f>M78</f>
        <v>400000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12693136.048318874</v>
      </c>
      <c r="T50" s="252"/>
      <c r="U50" s="254">
        <f t="shared" si="4"/>
        <v>514583.30084319739</v>
      </c>
      <c r="V50" s="254">
        <f t="shared" si="5"/>
        <v>518108.90897977981</v>
      </c>
      <c r="W50" s="252">
        <f t="shared" si="6"/>
        <v>6228000</v>
      </c>
      <c r="X50" s="252">
        <f t="shared" si="2"/>
        <v>0</v>
      </c>
      <c r="Y50" s="252">
        <f t="shared" si="1"/>
        <v>7497828.2581418511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11"/>
        <v>-30000</v>
      </c>
      <c r="E51" s="433">
        <f t="shared" si="12"/>
        <v>750000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12788334.568681266</v>
      </c>
      <c r="T51" s="252"/>
      <c r="U51" s="254">
        <f t="shared" si="4"/>
        <v>528871.49501689069</v>
      </c>
      <c r="V51" s="254">
        <f t="shared" si="5"/>
        <v>529925.39523512358</v>
      </c>
      <c r="W51" s="252">
        <f t="shared" si="6"/>
        <v>6228000</v>
      </c>
      <c r="X51" s="252">
        <f t="shared" si="2"/>
        <v>0</v>
      </c>
      <c r="Y51" s="252">
        <f t="shared" si="1"/>
        <v>7619131.4589332808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11"/>
        <v>-4000</v>
      </c>
      <c r="E52" s="433">
        <f t="shared" si="12"/>
        <v>820000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12884247.077946376</v>
      </c>
      <c r="T52" s="252">
        <f>$V$4</f>
        <v>1000000</v>
      </c>
      <c r="U52" s="254">
        <f t="shared" si="4"/>
        <v>543278.75747536472</v>
      </c>
      <c r="V52" s="254">
        <f t="shared" si="5"/>
        <v>541741.88149046735</v>
      </c>
      <c r="W52" s="252">
        <f t="shared" si="6"/>
        <v>6228000</v>
      </c>
      <c r="X52" s="252">
        <f t="shared" si="2"/>
        <v>1000000</v>
      </c>
      <c r="Y52" s="252">
        <f t="shared" si="1"/>
        <v>8741267.7169122081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11"/>
        <v>0</v>
      </c>
      <c r="E53" s="433">
        <f t="shared" si="12"/>
        <v>0</v>
      </c>
      <c r="F53" s="366"/>
      <c r="G53" s="406"/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13980878.931030974</v>
      </c>
      <c r="T53" s="252"/>
      <c r="U53" s="254">
        <f t="shared" si="4"/>
        <v>557806.08045432612</v>
      </c>
      <c r="V53" s="254">
        <f t="shared" si="5"/>
        <v>553558.36774581112</v>
      </c>
      <c r="W53" s="252">
        <f t="shared" si="6"/>
        <v>7228000</v>
      </c>
      <c r="X53" s="252">
        <f t="shared" si="2"/>
        <v>0</v>
      </c>
      <c r="Y53" s="252">
        <f t="shared" si="1"/>
        <v>7864243.3792311102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14085735.523013707</v>
      </c>
      <c r="T54" s="252"/>
      <c r="U54" s="254">
        <f t="shared" si="4"/>
        <v>572454.46445811214</v>
      </c>
      <c r="V54" s="254">
        <f t="shared" si="5"/>
        <v>565374.85400115489</v>
      </c>
      <c r="W54" s="252">
        <f t="shared" si="6"/>
        <v>7228000</v>
      </c>
      <c r="X54" s="252">
        <f t="shared" si="2"/>
        <v>0</v>
      </c>
      <c r="Y54" s="252">
        <f t="shared" si="1"/>
        <v>7995564.841472974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14191378.539436311</v>
      </c>
      <c r="T55" s="252"/>
      <c r="U55" s="254">
        <f t="shared" si="4"/>
        <v>587224.9183285964</v>
      </c>
      <c r="V55" s="254">
        <f t="shared" si="5"/>
        <v>577191.34025649866</v>
      </c>
      <c r="W55" s="252">
        <f t="shared" si="6"/>
        <v>7228000</v>
      </c>
      <c r="X55" s="252">
        <f t="shared" si="2"/>
        <v>0</v>
      </c>
      <c r="Y55" s="252">
        <f t="shared" si="1"/>
        <v>8127794.7980214059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7090000</v>
      </c>
      <c r="F56" s="366"/>
      <c r="G56" s="441"/>
      <c r="H56" s="420"/>
      <c r="I56" s="442"/>
      <c r="J56" s="18"/>
      <c r="K56" s="205"/>
      <c r="L56" s="212" t="s">
        <v>80</v>
      </c>
      <c r="M56" s="22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14297813.878482083</v>
      </c>
      <c r="T56" s="252"/>
      <c r="U56" s="254">
        <f t="shared" si="4"/>
        <v>602118.45931466797</v>
      </c>
      <c r="V56" s="254">
        <f t="shared" si="5"/>
        <v>589007.82651184243</v>
      </c>
      <c r="W56" s="252">
        <f t="shared" si="6"/>
        <v>7228000</v>
      </c>
      <c r="X56" s="252">
        <f t="shared" si="2"/>
        <v>0</v>
      </c>
      <c r="Y56" s="252">
        <f t="shared" si="1"/>
        <v>8260940.1643085945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6670000</v>
      </c>
      <c r="F57" s="416"/>
      <c r="G57" s="553" t="s">
        <v>59</v>
      </c>
      <c r="H57" s="554"/>
      <c r="I57" s="555">
        <f>SUM(I38:I56)</f>
        <v>3228000</v>
      </c>
      <c r="K57" s="205"/>
      <c r="L57" s="212" t="s">
        <v>81</v>
      </c>
      <c r="M57" s="223"/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14405047.482570698</v>
      </c>
      <c r="T57" s="252"/>
      <c r="U57" s="254">
        <f t="shared" si="4"/>
        <v>617136.11314229015</v>
      </c>
      <c r="V57" s="254">
        <f t="shared" si="5"/>
        <v>600824.3127671862</v>
      </c>
      <c r="W57" s="252">
        <f t="shared" si="6"/>
        <v>7228000</v>
      </c>
      <c r="X57" s="252">
        <f t="shared" si="2"/>
        <v>0</v>
      </c>
      <c r="Y57" s="252">
        <f t="shared" si="1"/>
        <v>8395007.9084801748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14513085.338689979</v>
      </c>
      <c r="T58" s="252"/>
      <c r="U58" s="254">
        <f t="shared" si="4"/>
        <v>632278.91408514255</v>
      </c>
      <c r="V58" s="254">
        <f t="shared" si="5"/>
        <v>612640.79902252997</v>
      </c>
      <c r="W58" s="252">
        <f t="shared" si="6"/>
        <v>7228000</v>
      </c>
      <c r="X58" s="252">
        <f t="shared" si="2"/>
        <v>0</v>
      </c>
      <c r="Y58" s="252">
        <f t="shared" si="1"/>
        <v>8530005.0517976508</v>
      </c>
      <c r="Z58" s="255"/>
      <c r="AA58" s="255"/>
      <c r="AB58" s="255"/>
      <c r="AC58" s="255"/>
    </row>
    <row r="59" spans="2:29" s="17" customFormat="1" ht="45" x14ac:dyDescent="0.45">
      <c r="B59" s="489"/>
      <c r="C59" s="568">
        <f>D59/0.2</f>
        <v>13776000</v>
      </c>
      <c r="D59" s="568">
        <f>D76*0.8</f>
        <v>2755200</v>
      </c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12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14621933.478730155</v>
      </c>
      <c r="T59" s="252"/>
      <c r="U59" s="254">
        <f t="shared" si="4"/>
        <v>647547.90503585211</v>
      </c>
      <c r="V59" s="254">
        <f t="shared" si="5"/>
        <v>624457.28527787374</v>
      </c>
      <c r="W59" s="252">
        <f t="shared" si="6"/>
        <v>7228000</v>
      </c>
      <c r="X59" s="252">
        <f t="shared" si="2"/>
        <v>0</v>
      </c>
      <c r="Y59" s="252">
        <f t="shared" si="1"/>
        <v>8665938.66904388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12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14731597.979820631</v>
      </c>
      <c r="T60" s="252"/>
      <c r="U60" s="254">
        <f t="shared" si="4"/>
        <v>662944.13757781754</v>
      </c>
      <c r="V60" s="254">
        <f t="shared" si="5"/>
        <v>636273.77153321751</v>
      </c>
      <c r="W60" s="252">
        <f t="shared" si="6"/>
        <v>7228000</v>
      </c>
      <c r="X60" s="252">
        <f t="shared" si="2"/>
        <v>0</v>
      </c>
      <c r="Y60" s="252">
        <f t="shared" si="1"/>
        <v>8802815.8889316656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12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14842084.964669287</v>
      </c>
      <c r="T61" s="252"/>
      <c r="U61" s="254">
        <f t="shared" si="4"/>
        <v>678468.67205763271</v>
      </c>
      <c r="V61" s="254">
        <f t="shared" si="5"/>
        <v>648090.25778856128</v>
      </c>
      <c r="W61" s="252">
        <f t="shared" si="6"/>
        <v>7228000</v>
      </c>
      <c r="X61" s="252">
        <f t="shared" si="2"/>
        <v>0</v>
      </c>
      <c r="Y61" s="252">
        <f t="shared" si="1"/>
        <v>8940643.8945154808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3500000</v>
      </c>
      <c r="N62" s="579">
        <f>M62*0.8</f>
        <v>2800000</v>
      </c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14953400.601904308</v>
      </c>
      <c r="T62" s="252"/>
      <c r="U62" s="254">
        <f t="shared" si="4"/>
        <v>694122.57765811298</v>
      </c>
      <c r="V62" s="254">
        <f t="shared" si="5"/>
        <v>659906.74404390506</v>
      </c>
      <c r="W62" s="252">
        <f t="shared" si="6"/>
        <v>7228000</v>
      </c>
      <c r="X62" s="252">
        <f t="shared" si="2"/>
        <v>0</v>
      </c>
      <c r="Y62" s="252">
        <f t="shared" si="1"/>
        <v>9079429.9236063268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990000</v>
      </c>
      <c r="N63" s="579">
        <f>N62*5</f>
        <v>14000000</v>
      </c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15065551.106418591</v>
      </c>
      <c r="T63" s="252"/>
      <c r="U63" s="254">
        <f t="shared" si="4"/>
        <v>709906.93247193052</v>
      </c>
      <c r="V63" s="254">
        <f t="shared" si="5"/>
        <v>671723.23029924883</v>
      </c>
      <c r="W63" s="252">
        <f t="shared" si="6"/>
        <v>7228000</v>
      </c>
      <c r="X63" s="252">
        <f t="shared" si="2"/>
        <v>0</v>
      </c>
      <c r="Y63" s="252">
        <f t="shared" si="1"/>
        <v>9219181.2691897713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600000</v>
      </c>
      <c r="N64" s="212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15178542.739716731</v>
      </c>
      <c r="T64" s="252">
        <f>$V$4</f>
        <v>1000000</v>
      </c>
      <c r="U64" s="254">
        <f t="shared" si="4"/>
        <v>725822.82357586327</v>
      </c>
      <c r="V64" s="254">
        <f t="shared" si="5"/>
        <v>683539.7165545926</v>
      </c>
      <c r="W64" s="252">
        <f t="shared" si="6"/>
        <v>7228000</v>
      </c>
      <c r="X64" s="252">
        <f t="shared" si="2"/>
        <v>1000000</v>
      </c>
      <c r="Y64" s="252">
        <f t="shared" si="1"/>
        <v>10359905.279847186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3442000</v>
      </c>
      <c r="E65" s="200"/>
      <c r="F65" s="201"/>
      <c r="G65" s="202" t="s">
        <v>158</v>
      </c>
      <c r="H65" s="203" t="s">
        <v>114</v>
      </c>
      <c r="I65" s="204">
        <f>I19-I32</f>
        <v>11816.486255343723</v>
      </c>
      <c r="J65" s="18"/>
      <c r="K65" s="205"/>
      <c r="L65" s="212" t="s">
        <v>214</v>
      </c>
      <c r="M65" s="223">
        <v>750000</v>
      </c>
      <c r="N65" s="212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16292381.810264608</v>
      </c>
      <c r="T65" s="252"/>
      <c r="U65" s="254">
        <f t="shared" si="4"/>
        <v>741871.34710566211</v>
      </c>
      <c r="V65" s="254">
        <f t="shared" si="5"/>
        <v>695356.20280993637</v>
      </c>
      <c r="W65" s="252">
        <f t="shared" si="6"/>
        <v>8228000</v>
      </c>
      <c r="X65" s="252">
        <f t="shared" si="2"/>
        <v>0</v>
      </c>
      <c r="Y65" s="252">
        <f t="shared" si="1"/>
        <v>9501609.3601802066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820000</v>
      </c>
      <c r="N66" s="212"/>
      <c r="O66" s="292"/>
      <c r="P66" s="583">
        <v>60</v>
      </c>
      <c r="Q66" s="584">
        <f ca="1">Q65+30</f>
        <v>47861</v>
      </c>
      <c r="R66" s="584" t="str">
        <f t="shared" ca="1" si="0"/>
        <v>January 2031</v>
      </c>
      <c r="S66" s="585">
        <f t="shared" si="3"/>
        <v>16414574.673841594</v>
      </c>
      <c r="T66" s="585"/>
      <c r="U66" s="586">
        <f t="shared" si="4"/>
        <v>758053.60833154258</v>
      </c>
      <c r="V66" s="586">
        <f t="shared" si="5"/>
        <v>707172.68906528014</v>
      </c>
      <c r="W66" s="585">
        <f t="shared" si="6"/>
        <v>8228000</v>
      </c>
      <c r="X66" s="585">
        <f t="shared" si="2"/>
        <v>0</v>
      </c>
      <c r="Y66" s="585">
        <f t="shared" si="1"/>
        <v>9651800.9712384194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3862000</v>
      </c>
      <c r="E67" s="459"/>
      <c r="F67" s="366"/>
      <c r="G67" s="461" t="s">
        <v>113</v>
      </c>
      <c r="H67" s="461" t="s">
        <v>115</v>
      </c>
      <c r="I67" s="462">
        <f>I65*12</f>
        <v>141797.83506412467</v>
      </c>
      <c r="K67" s="205"/>
      <c r="L67" s="214" t="s">
        <v>247</v>
      </c>
      <c r="M67" s="224"/>
      <c r="N67" s="212"/>
      <c r="P67" s="249">
        <v>61</v>
      </c>
      <c r="Q67" s="251">
        <f t="shared" ca="1" si="7"/>
        <v>47891</v>
      </c>
      <c r="R67" s="251" t="str">
        <f t="shared" ca="1" si="0"/>
        <v>February 2031</v>
      </c>
      <c r="S67" s="252">
        <f t="shared" ref="S67:S74" si="13">($V$1/12+1)*S66+T66</f>
        <v>16537683.983895406</v>
      </c>
      <c r="T67" s="252"/>
      <c r="U67" s="254">
        <f t="shared" si="4"/>
        <v>774370.72173430538</v>
      </c>
      <c r="V67" s="254">
        <f t="shared" si="5"/>
        <v>718989.17532062391</v>
      </c>
      <c r="W67" s="252">
        <f t="shared" ref="W67:W74" si="14">W66+X66</f>
        <v>8228000</v>
      </c>
      <c r="X67" s="252">
        <f t="shared" ref="X67:X74" si="15">T67</f>
        <v>0</v>
      </c>
      <c r="Y67" s="252">
        <f t="shared" ref="Y67:Y74" si="16">SUM(S67:V67)-W67</f>
        <v>9803043.8809503354</v>
      </c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642000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49">
        <v>62</v>
      </c>
      <c r="Q68" s="251">
        <f t="shared" ca="1" si="7"/>
        <v>47921</v>
      </c>
      <c r="R68" s="251" t="str">
        <f t="shared" ca="1" si="0"/>
        <v>March 2031</v>
      </c>
      <c r="S68" s="252">
        <f t="shared" si="13"/>
        <v>16661716.613774622</v>
      </c>
      <c r="T68" s="252"/>
      <c r="U68" s="254">
        <f t="shared" si="4"/>
        <v>790823.81108209118</v>
      </c>
      <c r="V68" s="254">
        <f t="shared" si="5"/>
        <v>730805.66157596768</v>
      </c>
      <c r="W68" s="252">
        <f t="shared" si="14"/>
        <v>8228000</v>
      </c>
      <c r="X68" s="252">
        <f t="shared" si="15"/>
        <v>0</v>
      </c>
      <c r="Y68" s="252">
        <f t="shared" si="16"/>
        <v>9955346.0864326842</v>
      </c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9925.8484544887269</v>
      </c>
      <c r="K69" s="205"/>
      <c r="L69" s="241" t="s">
        <v>87</v>
      </c>
      <c r="M69" s="243"/>
      <c r="N69" s="205"/>
      <c r="P69" s="249">
        <v>63</v>
      </c>
      <c r="Q69" s="251">
        <f t="shared" ca="1" si="7"/>
        <v>47951</v>
      </c>
      <c r="R69" s="251" t="str">
        <f t="shared" ca="1" si="0"/>
        <v>April 2031</v>
      </c>
      <c r="S69" s="252">
        <f t="shared" si="13"/>
        <v>16786679.488377932</v>
      </c>
      <c r="T69" s="252"/>
      <c r="U69" s="254">
        <f t="shared" si="4"/>
        <v>807414.00950777531</v>
      </c>
      <c r="V69" s="254">
        <f t="shared" si="5"/>
        <v>742622.14783131145</v>
      </c>
      <c r="W69" s="252">
        <f t="shared" si="14"/>
        <v>8228000</v>
      </c>
      <c r="X69" s="252">
        <f t="shared" si="15"/>
        <v>0</v>
      </c>
      <c r="Y69" s="252">
        <f t="shared" si="16"/>
        <v>10108715.645717017</v>
      </c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49">
        <v>64</v>
      </c>
      <c r="Q70" s="251">
        <f t="shared" ca="1" si="7"/>
        <v>47981</v>
      </c>
      <c r="R70" s="251" t="str">
        <f t="shared" ca="1" si="0"/>
        <v>May 2031</v>
      </c>
      <c r="S70" s="252">
        <f t="shared" si="13"/>
        <v>16912579.584540769</v>
      </c>
      <c r="T70" s="252"/>
      <c r="U70" s="254">
        <f t="shared" si="4"/>
        <v>824142.45958700671</v>
      </c>
      <c r="V70" s="254">
        <f t="shared" si="5"/>
        <v>754438.63408665522</v>
      </c>
      <c r="W70" s="252">
        <f t="shared" si="14"/>
        <v>8228000</v>
      </c>
      <c r="X70" s="252">
        <f t="shared" si="15"/>
        <v>0</v>
      </c>
      <c r="Y70" s="252">
        <f t="shared" si="16"/>
        <v>10263160.678214431</v>
      </c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49">
        <v>65</v>
      </c>
      <c r="Q71" s="251">
        <f t="shared" ca="1" si="7"/>
        <v>48011</v>
      </c>
      <c r="R71" s="251" t="str">
        <f t="shared" ref="R71:R128" ca="1" si="17">TEXT($Q71,"MMMM")&amp;TEXT($Q71," YYYY")</f>
        <v>June 2031</v>
      </c>
      <c r="S71" s="252">
        <f t="shared" si="13"/>
        <v>17039423.931424826</v>
      </c>
      <c r="T71" s="252"/>
      <c r="U71" s="254">
        <f t="shared" si="4"/>
        <v>841010.31341689837</v>
      </c>
      <c r="V71" s="254">
        <f t="shared" si="5"/>
        <v>766255.12034199899</v>
      </c>
      <c r="W71" s="252">
        <f t="shared" si="14"/>
        <v>8228000</v>
      </c>
      <c r="X71" s="252">
        <f t="shared" si="15"/>
        <v>0</v>
      </c>
      <c r="Y71" s="252">
        <f t="shared" si="16"/>
        <v>10418689.365183722</v>
      </c>
      <c r="Z71" s="252"/>
    </row>
    <row r="72" spans="2:29" ht="45" x14ac:dyDescent="0.45">
      <c r="B72" s="463" t="s">
        <v>105</v>
      </c>
      <c r="C72" s="464"/>
      <c r="D72" s="465">
        <f>SUM(I48:I54)</f>
        <v>3216000</v>
      </c>
      <c r="E72" s="464"/>
      <c r="F72" s="201"/>
      <c r="G72" s="195" t="s">
        <v>1</v>
      </c>
      <c r="H72" s="195" t="s">
        <v>114</v>
      </c>
      <c r="I72" s="196">
        <f>H5</f>
        <v>14248.202666666668</v>
      </c>
      <c r="K72" s="205"/>
      <c r="L72" s="212" t="s">
        <v>62</v>
      </c>
      <c r="M72" s="213"/>
      <c r="N72" s="205"/>
      <c r="P72" s="249">
        <v>66</v>
      </c>
      <c r="Q72" s="251">
        <f t="shared" ca="1" si="7"/>
        <v>48041</v>
      </c>
      <c r="R72" s="251" t="str">
        <f t="shared" ca="1" si="17"/>
        <v>July 2031</v>
      </c>
      <c r="S72" s="252">
        <f t="shared" si="13"/>
        <v>17167219.610910513</v>
      </c>
      <c r="T72" s="252"/>
      <c r="U72" s="254">
        <f t="shared" si="4"/>
        <v>858018.73269537254</v>
      </c>
      <c r="V72" s="254">
        <f t="shared" si="5"/>
        <v>778071.60659734276</v>
      </c>
      <c r="W72" s="252">
        <f t="shared" si="14"/>
        <v>8228000</v>
      </c>
      <c r="X72" s="252">
        <f t="shared" si="15"/>
        <v>0</v>
      </c>
      <c r="Y72" s="252">
        <f t="shared" si="16"/>
        <v>10575309.950203225</v>
      </c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49">
        <v>67</v>
      </c>
      <c r="Q73" s="251">
        <f t="shared" ca="1" si="7"/>
        <v>48071</v>
      </c>
      <c r="R73" s="251" t="str">
        <f t="shared" ca="1" si="17"/>
        <v>August 2031</v>
      </c>
      <c r="S73" s="252">
        <f t="shared" si="13"/>
        <v>17295973.757992342</v>
      </c>
      <c r="T73" s="252"/>
      <c r="U73" s="254">
        <f t="shared" si="4"/>
        <v>875168.88880116725</v>
      </c>
      <c r="V73" s="254">
        <f t="shared" si="5"/>
        <v>789888.09285268653</v>
      </c>
      <c r="W73" s="252">
        <f t="shared" si="14"/>
        <v>8228000</v>
      </c>
      <c r="X73" s="252">
        <f t="shared" si="15"/>
        <v>0</v>
      </c>
      <c r="Y73" s="252">
        <f t="shared" si="16"/>
        <v>10733030.739646196</v>
      </c>
      <c r="Z73" s="252"/>
    </row>
    <row r="74" spans="2:29" ht="45" x14ac:dyDescent="0.45">
      <c r="B74" s="463" t="s">
        <v>100</v>
      </c>
      <c r="C74" s="464"/>
      <c r="D74" s="465">
        <f>SUM(E48:E54)</f>
        <v>6660000</v>
      </c>
      <c r="E74" s="464"/>
      <c r="F74" s="201"/>
      <c r="G74" s="195" t="s">
        <v>251</v>
      </c>
      <c r="H74" s="195" t="s">
        <v>114</v>
      </c>
      <c r="I74" s="196">
        <f>I32-H5</f>
        <v>11680.973744656287</v>
      </c>
      <c r="K74" s="205"/>
      <c r="L74" s="212"/>
      <c r="M74" s="213"/>
      <c r="N74" s="205"/>
      <c r="P74" s="249">
        <v>68</v>
      </c>
      <c r="Q74" s="251">
        <f t="shared" ref="Q74:Q95" ca="1" si="18">Q73+30</f>
        <v>48101</v>
      </c>
      <c r="R74" s="251" t="str">
        <f t="shared" ca="1" si="17"/>
        <v>September 2031</v>
      </c>
      <c r="S74" s="252">
        <f t="shared" si="13"/>
        <v>17425693.561177287</v>
      </c>
      <c r="T74" s="252"/>
      <c r="U74" s="254">
        <f t="shared" ref="U74:U128" si="19">($V$2/12+1)*U73+$V$3</f>
        <v>892461.96287451033</v>
      </c>
      <c r="V74" s="254">
        <f t="shared" ref="V74:V128" si="20">V73+$I$65</f>
        <v>801704.5791080303</v>
      </c>
      <c r="W74" s="252">
        <f t="shared" si="14"/>
        <v>8228000</v>
      </c>
      <c r="X74" s="252">
        <f t="shared" si="15"/>
        <v>0</v>
      </c>
      <c r="Y74" s="252">
        <f t="shared" si="16"/>
        <v>10891860.103159826</v>
      </c>
      <c r="Z74" s="252"/>
    </row>
    <row r="75" spans="2:29" ht="45" x14ac:dyDescent="0.45">
      <c r="B75" s="466"/>
      <c r="C75" s="464"/>
      <c r="D75" s="467"/>
      <c r="E75" s="464"/>
      <c r="F75" s="201"/>
      <c r="G75" s="456"/>
      <c r="H75" s="195" t="s">
        <v>115</v>
      </c>
      <c r="I75" s="196">
        <f>I74*12</f>
        <v>140171.68493587544</v>
      </c>
      <c r="K75" s="205"/>
      <c r="L75" s="212" t="s">
        <v>85</v>
      </c>
      <c r="M75" s="223">
        <v>700000</v>
      </c>
      <c r="N75" s="205"/>
      <c r="P75" s="249">
        <v>69</v>
      </c>
      <c r="Q75" s="251">
        <f t="shared" ca="1" si="18"/>
        <v>48131</v>
      </c>
      <c r="R75" s="251" t="str">
        <f t="shared" ca="1" si="17"/>
        <v>October 2031</v>
      </c>
      <c r="S75" s="252">
        <f t="shared" ref="S75:S96" si="21">($V$1/12+1)*S74+T74</f>
        <v>17556386.262886118</v>
      </c>
      <c r="T75" s="252"/>
      <c r="U75" s="254">
        <f t="shared" si="19"/>
        <v>909899.1458984646</v>
      </c>
      <c r="V75" s="254">
        <f t="shared" si="20"/>
        <v>813521.06536337407</v>
      </c>
      <c r="W75" s="252">
        <f t="shared" ref="W75:W96" si="22">W74+X74</f>
        <v>8228000</v>
      </c>
      <c r="X75" s="252">
        <f t="shared" ref="X75:X96" si="23">T75</f>
        <v>0</v>
      </c>
      <c r="Y75" s="252">
        <f t="shared" ref="Y75:Y96" si="24">SUM(S75:V75)-W75</f>
        <v>11051806.474147957</v>
      </c>
      <c r="Z75" s="252"/>
    </row>
    <row r="76" spans="2:29" ht="45" x14ac:dyDescent="0.45">
      <c r="B76" s="463" t="s">
        <v>101</v>
      </c>
      <c r="C76" s="464"/>
      <c r="D76" s="469">
        <f>SUM(D48:D53)</f>
        <v>3444000</v>
      </c>
      <c r="E76" s="464"/>
      <c r="F76" s="366"/>
      <c r="G76" s="195" t="s">
        <v>125</v>
      </c>
      <c r="H76" s="195"/>
      <c r="I76" s="196">
        <f>I74*12/0.065</f>
        <v>2156487.4605519297</v>
      </c>
      <c r="K76" s="205"/>
      <c r="L76" s="220"/>
      <c r="M76" s="213"/>
      <c r="N76" s="205"/>
      <c r="P76" s="249">
        <v>70</v>
      </c>
      <c r="Q76" s="251">
        <f t="shared" ca="1" si="18"/>
        <v>48161</v>
      </c>
      <c r="R76" s="251" t="str">
        <f t="shared" ca="1" si="17"/>
        <v>November 2031</v>
      </c>
      <c r="S76" s="252">
        <f t="shared" si="21"/>
        <v>17688059.159857765</v>
      </c>
      <c r="T76" s="252"/>
      <c r="U76" s="254">
        <f t="shared" si="19"/>
        <v>927481.63878095173</v>
      </c>
      <c r="V76" s="254">
        <f t="shared" si="20"/>
        <v>825337.55161871784</v>
      </c>
      <c r="W76" s="252">
        <f t="shared" si="22"/>
        <v>8228000</v>
      </c>
      <c r="X76" s="252">
        <f t="shared" si="23"/>
        <v>0</v>
      </c>
      <c r="Y76" s="252">
        <f t="shared" si="24"/>
        <v>11212878.350257434</v>
      </c>
      <c r="Z76" s="252"/>
    </row>
    <row r="77" spans="2:29" ht="45" x14ac:dyDescent="0.45">
      <c r="B77" s="470"/>
      <c r="C77" s="464"/>
      <c r="D77" s="469"/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49">
        <v>71</v>
      </c>
      <c r="Q77" s="251">
        <f t="shared" ca="1" si="18"/>
        <v>48191</v>
      </c>
      <c r="R77" s="251" t="str">
        <f t="shared" ca="1" si="17"/>
        <v>December 2031</v>
      </c>
      <c r="S77" s="252">
        <f t="shared" si="21"/>
        <v>17820719.6035567</v>
      </c>
      <c r="T77" s="252"/>
      <c r="U77" s="254">
        <f t="shared" si="19"/>
        <v>945210.65243745968</v>
      </c>
      <c r="V77" s="254">
        <f t="shared" si="20"/>
        <v>837154.03787406161</v>
      </c>
      <c r="W77" s="252">
        <f t="shared" si="22"/>
        <v>8228000</v>
      </c>
      <c r="X77" s="252">
        <f t="shared" si="23"/>
        <v>0</v>
      </c>
      <c r="Y77" s="252">
        <f t="shared" si="24"/>
        <v>11375084.293868221</v>
      </c>
      <c r="Z77" s="252"/>
    </row>
    <row r="78" spans="2:29" ht="45" x14ac:dyDescent="0.45">
      <c r="B78" s="463" t="s">
        <v>29</v>
      </c>
      <c r="C78" s="464"/>
      <c r="D78" s="472">
        <f>D72/D74</f>
        <v>0.48288288288288289</v>
      </c>
      <c r="E78" s="464"/>
      <c r="F78" s="366"/>
      <c r="G78" s="366"/>
      <c r="H78" s="452"/>
      <c r="I78" s="473"/>
      <c r="K78" s="205"/>
      <c r="L78" s="212" t="s">
        <v>224</v>
      </c>
      <c r="M78" s="223">
        <v>400000</v>
      </c>
      <c r="N78" s="205"/>
      <c r="P78" s="249">
        <v>72</v>
      </c>
      <c r="Q78" s="251">
        <f t="shared" ca="1" si="18"/>
        <v>48221</v>
      </c>
      <c r="R78" s="251" t="str">
        <f t="shared" ca="1" si="17"/>
        <v>January 2032</v>
      </c>
      <c r="S78" s="252">
        <f t="shared" si="21"/>
        <v>17954375.000583377</v>
      </c>
      <c r="T78" s="252"/>
      <c r="U78" s="254">
        <f t="shared" si="19"/>
        <v>963087.40787443845</v>
      </c>
      <c r="V78" s="254">
        <f t="shared" si="20"/>
        <v>848970.52412940538</v>
      </c>
      <c r="W78" s="252">
        <f t="shared" si="22"/>
        <v>8228000</v>
      </c>
      <c r="X78" s="252">
        <f t="shared" si="23"/>
        <v>0</v>
      </c>
      <c r="Y78" s="252">
        <f t="shared" si="24"/>
        <v>11538432.932587221</v>
      </c>
      <c r="Z78" s="252"/>
    </row>
    <row r="79" spans="2:29" ht="45" x14ac:dyDescent="0.45">
      <c r="B79" s="463"/>
      <c r="C79" s="464"/>
      <c r="D79" s="474"/>
      <c r="E79" s="464"/>
      <c r="F79" s="366"/>
      <c r="I79" s="473"/>
      <c r="K79" s="205"/>
      <c r="L79" s="212" t="s">
        <v>225</v>
      </c>
      <c r="M79" s="223">
        <v>780000</v>
      </c>
      <c r="N79" s="205"/>
      <c r="P79" s="249">
        <v>73</v>
      </c>
      <c r="Q79" s="251">
        <f t="shared" ca="1" si="18"/>
        <v>48251</v>
      </c>
      <c r="R79" s="251" t="str">
        <f t="shared" ca="1" si="17"/>
        <v>February 2032</v>
      </c>
      <c r="S79" s="252">
        <f t="shared" si="21"/>
        <v>18089032.813087754</v>
      </c>
      <c r="T79" s="252"/>
      <c r="U79" s="254">
        <f t="shared" si="19"/>
        <v>981113.13627339213</v>
      </c>
      <c r="V79" s="254">
        <f t="shared" si="20"/>
        <v>860787.01038474916</v>
      </c>
      <c r="W79" s="252">
        <f t="shared" si="22"/>
        <v>8228000</v>
      </c>
      <c r="X79" s="252">
        <f t="shared" si="23"/>
        <v>0</v>
      </c>
      <c r="Y79" s="252">
        <f t="shared" si="24"/>
        <v>11702932.959745895</v>
      </c>
      <c r="Z79" s="252"/>
    </row>
    <row r="80" spans="2:29" ht="45" x14ac:dyDescent="0.45">
      <c r="B80" s="463" t="s">
        <v>121</v>
      </c>
      <c r="C80" s="464"/>
      <c r="D80" s="469">
        <f>(80%-D78)*D74</f>
        <v>2112000.0000000005</v>
      </c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49">
        <v>74</v>
      </c>
      <c r="Q80" s="251">
        <f t="shared" ca="1" si="18"/>
        <v>48281</v>
      </c>
      <c r="R80" s="251" t="str">
        <f t="shared" ca="1" si="17"/>
        <v>March 2032</v>
      </c>
      <c r="S80" s="252">
        <f t="shared" si="21"/>
        <v>18224700.559185915</v>
      </c>
      <c r="T80" s="252"/>
      <c r="U80" s="254">
        <f t="shared" si="19"/>
        <v>999289.07907567034</v>
      </c>
      <c r="V80" s="254">
        <f t="shared" si="20"/>
        <v>872603.49664009293</v>
      </c>
      <c r="W80" s="252">
        <f t="shared" si="22"/>
        <v>8228000</v>
      </c>
      <c r="X80" s="252">
        <f t="shared" si="23"/>
        <v>0</v>
      </c>
      <c r="Y80" s="252">
        <f t="shared" si="24"/>
        <v>11868593.13490168</v>
      </c>
      <c r="Z80" s="252"/>
    </row>
    <row r="81" spans="2:26" ht="45" x14ac:dyDescent="0.45">
      <c r="B81" s="463"/>
      <c r="C81" s="464"/>
      <c r="D81" s="474"/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49">
        <v>75</v>
      </c>
      <c r="Q81" s="251">
        <f t="shared" ca="1" si="18"/>
        <v>48311</v>
      </c>
      <c r="R81" s="251" t="str">
        <f t="shared" ca="1" si="17"/>
        <v>April 2032</v>
      </c>
      <c r="S81" s="252">
        <f t="shared" si="21"/>
        <v>18361385.813379809</v>
      </c>
      <c r="T81" s="252"/>
      <c r="U81" s="254">
        <f t="shared" si="19"/>
        <v>1017616.4880679676</v>
      </c>
      <c r="V81" s="254">
        <f t="shared" si="20"/>
        <v>884419.9828954367</v>
      </c>
      <c r="W81" s="252">
        <f t="shared" si="22"/>
        <v>8228000</v>
      </c>
      <c r="X81" s="252">
        <f t="shared" si="23"/>
        <v>0</v>
      </c>
      <c r="Y81" s="252">
        <f t="shared" si="24"/>
        <v>12035422.284343213</v>
      </c>
      <c r="Z81" s="252"/>
    </row>
    <row r="82" spans="2:26" ht="47" x14ac:dyDescent="0.45">
      <c r="B82" s="463" t="s">
        <v>283</v>
      </c>
      <c r="C82" s="464"/>
      <c r="D82" s="562">
        <f>D80/0.2</f>
        <v>10560000.000000002</v>
      </c>
      <c r="E82" s="464"/>
      <c r="F82" s="366"/>
      <c r="G82" s="475" t="s">
        <v>162</v>
      </c>
      <c r="H82" s="476"/>
      <c r="I82" s="477">
        <f>SUM(E38:E39)</f>
        <v>10000</v>
      </c>
      <c r="K82" s="205"/>
      <c r="L82" s="212"/>
      <c r="M82" s="223"/>
      <c r="N82" s="205"/>
      <c r="P82" s="249">
        <v>76</v>
      </c>
      <c r="Q82" s="251">
        <f t="shared" ca="1" si="18"/>
        <v>48341</v>
      </c>
      <c r="R82" s="251" t="str">
        <f t="shared" ca="1" si="17"/>
        <v>May 2032</v>
      </c>
      <c r="S82" s="252">
        <f t="shared" si="21"/>
        <v>18499096.206980158</v>
      </c>
      <c r="T82" s="252"/>
      <c r="U82" s="254">
        <f t="shared" si="19"/>
        <v>1036096.625468534</v>
      </c>
      <c r="V82" s="254">
        <f t="shared" si="20"/>
        <v>896236.46915078047</v>
      </c>
      <c r="W82" s="252">
        <f t="shared" si="22"/>
        <v>8228000</v>
      </c>
      <c r="X82" s="252">
        <f t="shared" si="23"/>
        <v>0</v>
      </c>
      <c r="Y82" s="252">
        <f t="shared" si="24"/>
        <v>12203429.301599473</v>
      </c>
      <c r="Z82" s="252"/>
    </row>
    <row r="83" spans="2:26" ht="46" thickBot="1" x14ac:dyDescent="0.5">
      <c r="B83" s="451"/>
      <c r="C83" s="366"/>
      <c r="D83" s="366"/>
      <c r="E83" s="452"/>
      <c r="F83" s="366"/>
      <c r="G83" s="475" t="s">
        <v>163</v>
      </c>
      <c r="H83" s="475"/>
      <c r="I83" s="477">
        <f>SUM(E41:E43)</f>
        <v>0</v>
      </c>
      <c r="K83" s="205"/>
      <c r="L83" s="221"/>
      <c r="M83" s="222"/>
      <c r="N83" s="205"/>
      <c r="P83" s="249">
        <v>77</v>
      </c>
      <c r="Q83" s="251">
        <f t="shared" ca="1" si="18"/>
        <v>48371</v>
      </c>
      <c r="R83" s="251" t="str">
        <f t="shared" ca="1" si="17"/>
        <v>June 2032</v>
      </c>
      <c r="S83" s="252">
        <f t="shared" si="21"/>
        <v>18637839.428532511</v>
      </c>
      <c r="T83" s="252"/>
      <c r="U83" s="254">
        <f t="shared" si="19"/>
        <v>1054730.7640141051</v>
      </c>
      <c r="V83" s="254">
        <f t="shared" si="20"/>
        <v>908052.95540612424</v>
      </c>
      <c r="W83" s="252">
        <f t="shared" si="22"/>
        <v>8228000</v>
      </c>
      <c r="X83" s="252">
        <f t="shared" si="23"/>
        <v>0</v>
      </c>
      <c r="Y83" s="252">
        <f t="shared" si="24"/>
        <v>12372623.147952743</v>
      </c>
      <c r="Z83" s="252"/>
    </row>
    <row r="84" spans="2:26" ht="45" x14ac:dyDescent="0.45">
      <c r="B84" s="451" t="s">
        <v>111</v>
      </c>
      <c r="C84" s="366"/>
      <c r="D84" s="366"/>
      <c r="E84" s="452"/>
      <c r="F84" s="366"/>
      <c r="G84" s="464" t="s">
        <v>154</v>
      </c>
      <c r="H84" s="464"/>
      <c r="I84" s="478">
        <f>SUM(I82:I83)</f>
        <v>10000</v>
      </c>
      <c r="K84" s="205"/>
      <c r="L84" s="206"/>
      <c r="M84" s="205"/>
      <c r="N84" s="205"/>
      <c r="P84" s="249">
        <v>78</v>
      </c>
      <c r="Q84" s="251">
        <f t="shared" ca="1" si="18"/>
        <v>48401</v>
      </c>
      <c r="R84" s="251" t="str">
        <f t="shared" ca="1" si="17"/>
        <v>July 2032</v>
      </c>
      <c r="S84" s="252">
        <f t="shared" si="21"/>
        <v>18777623.224246506</v>
      </c>
      <c r="T84" s="252"/>
      <c r="U84" s="254">
        <f t="shared" si="19"/>
        <v>1073520.1870475558</v>
      </c>
      <c r="V84" s="254">
        <f t="shared" si="20"/>
        <v>919869.44166146801</v>
      </c>
      <c r="W84" s="252">
        <f t="shared" si="22"/>
        <v>8228000</v>
      </c>
      <c r="X84" s="252">
        <f t="shared" si="23"/>
        <v>0</v>
      </c>
      <c r="Y84" s="252">
        <f t="shared" si="24"/>
        <v>12543012.852955531</v>
      </c>
      <c r="Z84" s="252"/>
    </row>
    <row r="85" spans="2:26" ht="45" x14ac:dyDescent="0.45">
      <c r="B85" s="406"/>
      <c r="C85" s="366"/>
      <c r="D85" s="366"/>
      <c r="E85" s="452"/>
      <c r="F85" s="366"/>
      <c r="G85" s="366"/>
      <c r="H85" s="452"/>
      <c r="I85" s="407"/>
      <c r="P85" s="249">
        <v>79</v>
      </c>
      <c r="Q85" s="251">
        <f t="shared" ca="1" si="18"/>
        <v>48431</v>
      </c>
      <c r="R85" s="251" t="str">
        <f t="shared" ca="1" si="17"/>
        <v>August 2032</v>
      </c>
      <c r="S85" s="252">
        <f t="shared" si="21"/>
        <v>18918455.398428354</v>
      </c>
      <c r="T85" s="252"/>
      <c r="U85" s="254">
        <f t="shared" si="19"/>
        <v>1092466.1886062855</v>
      </c>
      <c r="V85" s="254">
        <f t="shared" si="20"/>
        <v>931685.92791681178</v>
      </c>
      <c r="W85" s="252">
        <f t="shared" si="22"/>
        <v>8228000</v>
      </c>
      <c r="X85" s="252">
        <f t="shared" si="23"/>
        <v>0</v>
      </c>
      <c r="Y85" s="252">
        <f t="shared" si="24"/>
        <v>12714607.514951453</v>
      </c>
      <c r="Z85" s="252"/>
    </row>
    <row r="86" spans="2:26" ht="45" x14ac:dyDescent="0.45">
      <c r="B86" s="479" t="s">
        <v>128</v>
      </c>
      <c r="C86" s="480"/>
      <c r="D86" s="481">
        <f>D89-D72</f>
        <v>-1605607.9647358097</v>
      </c>
      <c r="E86" s="480"/>
      <c r="F86" s="366"/>
      <c r="G86" s="380" t="s">
        <v>127</v>
      </c>
      <c r="H86" s="452"/>
      <c r="I86" s="407"/>
      <c r="L86" s="580" t="s">
        <v>310</v>
      </c>
      <c r="M86" s="120"/>
      <c r="P86" s="249">
        <v>80</v>
      </c>
      <c r="Q86" s="251">
        <f t="shared" ca="1" si="18"/>
        <v>48461</v>
      </c>
      <c r="R86" s="251" t="str">
        <f t="shared" ca="1" si="17"/>
        <v>September 2032</v>
      </c>
      <c r="S86" s="252">
        <f t="shared" si="21"/>
        <v>19060343.813916568</v>
      </c>
      <c r="T86" s="252"/>
      <c r="U86" s="254">
        <f t="shared" si="19"/>
        <v>1111570.0735113379</v>
      </c>
      <c r="V86" s="254">
        <f t="shared" si="20"/>
        <v>943502.41417215555</v>
      </c>
      <c r="W86" s="252">
        <f t="shared" si="22"/>
        <v>8228000</v>
      </c>
      <c r="X86" s="252">
        <f t="shared" si="23"/>
        <v>0</v>
      </c>
      <c r="Y86" s="252">
        <f t="shared" si="24"/>
        <v>12887416.301600058</v>
      </c>
      <c r="Z86" s="252"/>
    </row>
    <row r="87" spans="2:26" ht="45" x14ac:dyDescent="0.45">
      <c r="B87" s="451" t="s">
        <v>112</v>
      </c>
      <c r="C87" s="366"/>
      <c r="D87" s="366"/>
      <c r="E87" s="452"/>
      <c r="F87" s="366"/>
      <c r="G87" s="201"/>
      <c r="H87" s="452"/>
      <c r="I87" s="407"/>
      <c r="L87" s="567"/>
      <c r="M87" s="570"/>
      <c r="P87" s="249">
        <v>81</v>
      </c>
      <c r="Q87" s="251">
        <f t="shared" ca="1" si="18"/>
        <v>48491</v>
      </c>
      <c r="R87" s="251" t="str">
        <f t="shared" ca="1" si="17"/>
        <v>October 2032</v>
      </c>
      <c r="S87" s="252">
        <f t="shared" si="21"/>
        <v>19203296.392520942</v>
      </c>
      <c r="T87" s="252"/>
      <c r="U87" s="254">
        <f t="shared" si="19"/>
        <v>1130833.1574572655</v>
      </c>
      <c r="V87" s="254">
        <f t="shared" si="20"/>
        <v>955318.90042749932</v>
      </c>
      <c r="W87" s="252">
        <f t="shared" si="22"/>
        <v>8228000</v>
      </c>
      <c r="X87" s="252">
        <f t="shared" si="23"/>
        <v>0</v>
      </c>
      <c r="Y87" s="252">
        <f t="shared" si="24"/>
        <v>13061448.450405706</v>
      </c>
      <c r="Z87" s="252"/>
    </row>
    <row r="88" spans="2:26" ht="45" x14ac:dyDescent="0.45">
      <c r="B88" s="451"/>
      <c r="C88" s="366"/>
      <c r="D88" s="366"/>
      <c r="E88" s="380"/>
      <c r="F88" s="366"/>
      <c r="G88" s="482" t="s">
        <v>165</v>
      </c>
      <c r="H88" s="482"/>
      <c r="I88" s="483">
        <f>SUM(E38:E43)/(I32-H5)</f>
        <v>0.85609301232910617</v>
      </c>
      <c r="L88" s="567" t="s">
        <v>284</v>
      </c>
      <c r="M88" s="570">
        <v>0</v>
      </c>
      <c r="N88" s="292"/>
      <c r="P88" s="249">
        <v>82</v>
      </c>
      <c r="Q88" s="251">
        <f ca="1">Q87+30</f>
        <v>48521</v>
      </c>
      <c r="R88" s="251" t="str">
        <f t="shared" ca="1" si="17"/>
        <v>November 2032</v>
      </c>
      <c r="S88" s="252">
        <f t="shared" si="21"/>
        <v>19347321.115464851</v>
      </c>
      <c r="T88" s="252"/>
      <c r="U88" s="254">
        <f t="shared" si="19"/>
        <v>1150256.7671027428</v>
      </c>
      <c r="V88" s="254">
        <f t="shared" si="20"/>
        <v>967135.38668284309</v>
      </c>
      <c r="W88" s="252">
        <f t="shared" si="22"/>
        <v>8228000</v>
      </c>
      <c r="X88" s="252">
        <f t="shared" si="23"/>
        <v>0</v>
      </c>
      <c r="Y88" s="252">
        <f t="shared" si="24"/>
        <v>13236713.269250438</v>
      </c>
      <c r="Z88" s="252"/>
    </row>
    <row r="89" spans="2:26" ht="45" x14ac:dyDescent="0.45">
      <c r="B89" s="479" t="s">
        <v>117</v>
      </c>
      <c r="C89" s="480"/>
      <c r="D89" s="481">
        <f>PV(8%/12,30*12,H24,0)*-1</f>
        <v>1610392.0352641903</v>
      </c>
      <c r="E89" s="480"/>
      <c r="F89" s="366"/>
      <c r="G89" s="482" t="s">
        <v>166</v>
      </c>
      <c r="H89" s="482"/>
      <c r="I89" s="483">
        <f>SUM(E38:E43)/(I32-H5)/12</f>
        <v>7.1341084360758852E-2</v>
      </c>
      <c r="L89" s="567" t="s">
        <v>296</v>
      </c>
      <c r="M89" s="570">
        <v>1800000</v>
      </c>
      <c r="P89" s="249">
        <v>83</v>
      </c>
      <c r="Q89" s="251">
        <f t="shared" ca="1" si="18"/>
        <v>48551</v>
      </c>
      <c r="R89" s="251" t="str">
        <f t="shared" ca="1" si="17"/>
        <v>December 2032</v>
      </c>
      <c r="S89" s="252">
        <f t="shared" si="21"/>
        <v>19492426.023830839</v>
      </c>
      <c r="T89" s="252"/>
      <c r="U89" s="254">
        <f t="shared" si="19"/>
        <v>1169842.2401619323</v>
      </c>
      <c r="V89" s="254">
        <f t="shared" si="20"/>
        <v>978951.87293818686</v>
      </c>
      <c r="W89" s="252">
        <f t="shared" si="22"/>
        <v>8228000</v>
      </c>
      <c r="X89" s="252">
        <f t="shared" si="23"/>
        <v>0</v>
      </c>
      <c r="Y89" s="252">
        <f t="shared" si="24"/>
        <v>13413220.136930957</v>
      </c>
    </row>
    <row r="90" spans="2:26" ht="45" x14ac:dyDescent="0.45">
      <c r="B90" s="451" t="s">
        <v>153</v>
      </c>
      <c r="C90" s="366"/>
      <c r="D90" s="452"/>
      <c r="E90" s="380"/>
      <c r="F90" s="366"/>
      <c r="G90" s="482" t="s">
        <v>161</v>
      </c>
      <c r="H90" s="482"/>
      <c r="I90" s="483">
        <f>H24/(I32-H5)</f>
        <v>1.0116011313482687</v>
      </c>
      <c r="L90" s="567"/>
      <c r="M90" s="291"/>
      <c r="P90" s="249">
        <v>84</v>
      </c>
      <c r="Q90" s="251">
        <f t="shared" ca="1" si="18"/>
        <v>48581</v>
      </c>
      <c r="R90" s="251" t="str">
        <f t="shared" ca="1" si="17"/>
        <v>January 2033</v>
      </c>
      <c r="S90" s="252">
        <f t="shared" si="21"/>
        <v>19638619.219009571</v>
      </c>
      <c r="T90" s="252"/>
      <c r="U90" s="254">
        <f t="shared" si="19"/>
        <v>1189590.925496615</v>
      </c>
      <c r="V90" s="254">
        <f t="shared" si="20"/>
        <v>990768.35919353063</v>
      </c>
      <c r="W90" s="252">
        <f t="shared" si="22"/>
        <v>8228000</v>
      </c>
      <c r="X90" s="252">
        <f t="shared" si="23"/>
        <v>0</v>
      </c>
      <c r="Y90" s="252">
        <f t="shared" si="24"/>
        <v>13590978.503699716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567" t="s">
        <v>294</v>
      </c>
      <c r="M91" s="570">
        <v>200000</v>
      </c>
      <c r="P91" s="249">
        <v>85</v>
      </c>
      <c r="Q91" s="251">
        <f t="shared" ca="1" si="18"/>
        <v>48611</v>
      </c>
      <c r="R91" s="251" t="str">
        <f t="shared" ca="1" si="17"/>
        <v>February 2033</v>
      </c>
      <c r="S91" s="252">
        <f t="shared" si="21"/>
        <v>19785908.863152143</v>
      </c>
      <c r="T91" s="252"/>
      <c r="U91" s="254">
        <f t="shared" si="19"/>
        <v>1209504.1832090868</v>
      </c>
      <c r="V91" s="254">
        <f t="shared" si="20"/>
        <v>1002584.8454488744</v>
      </c>
      <c r="W91" s="252">
        <f t="shared" si="22"/>
        <v>8228000</v>
      </c>
      <c r="X91" s="252">
        <f t="shared" si="23"/>
        <v>0</v>
      </c>
      <c r="Y91" s="252">
        <f t="shared" si="24"/>
        <v>13769997.891810104</v>
      </c>
    </row>
    <row r="92" spans="2:26" ht="35" customHeight="1" x14ac:dyDescent="0.35">
      <c r="D92" s="99"/>
      <c r="E92" s="22"/>
      <c r="L92" s="567" t="s">
        <v>295</v>
      </c>
      <c r="M92" s="570">
        <v>300000</v>
      </c>
      <c r="P92" s="249">
        <v>86</v>
      </c>
      <c r="Q92" s="251">
        <f t="shared" ca="1" si="18"/>
        <v>48641</v>
      </c>
      <c r="R92" s="251" t="str">
        <f t="shared" ca="1" si="17"/>
        <v>March 2033</v>
      </c>
      <c r="S92" s="252">
        <f t="shared" si="21"/>
        <v>19934303.179625783</v>
      </c>
      <c r="T92" s="252"/>
      <c r="U92" s="254">
        <f t="shared" si="19"/>
        <v>1229583.3847358292</v>
      </c>
      <c r="V92" s="254">
        <f t="shared" si="20"/>
        <v>1014401.3317042182</v>
      </c>
      <c r="W92" s="252">
        <f t="shared" si="22"/>
        <v>8228000</v>
      </c>
      <c r="X92" s="252">
        <f t="shared" si="23"/>
        <v>0</v>
      </c>
      <c r="Y92" s="252">
        <f t="shared" si="24"/>
        <v>13950287.896065831</v>
      </c>
    </row>
    <row r="93" spans="2:26" ht="35" customHeight="1" x14ac:dyDescent="0.35">
      <c r="D93" s="99"/>
      <c r="E93" s="98"/>
      <c r="F93" s="99"/>
      <c r="G93" s="99"/>
      <c r="H93" s="99"/>
      <c r="L93" s="567"/>
      <c r="M93" s="570"/>
      <c r="P93" s="249">
        <v>87</v>
      </c>
      <c r="Q93" s="251">
        <f t="shared" ca="1" si="18"/>
        <v>48671</v>
      </c>
      <c r="R93" s="251" t="str">
        <f t="shared" ca="1" si="17"/>
        <v>April 2033</v>
      </c>
      <c r="S93" s="252">
        <f t="shared" si="21"/>
        <v>20083810.453472979</v>
      </c>
      <c r="T93" s="252"/>
      <c r="U93" s="254">
        <f t="shared" si="19"/>
        <v>1249829.9129419611</v>
      </c>
      <c r="V93" s="254">
        <f t="shared" si="20"/>
        <v>1026217.8179595619</v>
      </c>
      <c r="W93" s="252">
        <f t="shared" si="22"/>
        <v>8228000</v>
      </c>
      <c r="X93" s="252">
        <f t="shared" si="23"/>
        <v>0</v>
      </c>
      <c r="Y93" s="252">
        <f t="shared" si="24"/>
        <v>14131858.184374504</v>
      </c>
    </row>
    <row r="94" spans="2:26" ht="35" customHeight="1" x14ac:dyDescent="0.35">
      <c r="D94" s="99"/>
      <c r="E94" s="98"/>
      <c r="F94" s="99"/>
      <c r="G94" s="99"/>
      <c r="H94" s="99"/>
      <c r="L94" s="567" t="s">
        <v>301</v>
      </c>
      <c r="M94" s="570">
        <f>0.05*3500000</f>
        <v>175000</v>
      </c>
      <c r="P94" s="249">
        <v>88</v>
      </c>
      <c r="Q94" s="251">
        <f t="shared" ca="1" si="18"/>
        <v>48701</v>
      </c>
      <c r="R94" s="251" t="str">
        <f t="shared" ca="1" si="17"/>
        <v>May 2033</v>
      </c>
      <c r="S94" s="252">
        <f t="shared" si="21"/>
        <v>20234439.031874027</v>
      </c>
      <c r="T94" s="252"/>
      <c r="U94" s="254">
        <f t="shared" si="19"/>
        <v>1270245.1622164773</v>
      </c>
      <c r="V94" s="254">
        <f t="shared" si="20"/>
        <v>1038034.3042149057</v>
      </c>
      <c r="W94" s="252">
        <f t="shared" si="22"/>
        <v>8228000</v>
      </c>
      <c r="X94" s="252">
        <f t="shared" si="23"/>
        <v>0</v>
      </c>
      <c r="Y94" s="252">
        <f t="shared" si="24"/>
        <v>14314718.49830541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567"/>
      <c r="M95" s="570"/>
      <c r="P95" s="249">
        <v>89</v>
      </c>
      <c r="Q95" s="251">
        <f t="shared" ca="1" si="18"/>
        <v>48731</v>
      </c>
      <c r="R95" s="251" t="str">
        <f t="shared" ca="1" si="17"/>
        <v>June 2033</v>
      </c>
      <c r="S95" s="252">
        <f t="shared" si="21"/>
        <v>20386197.324613083</v>
      </c>
      <c r="T95" s="252"/>
      <c r="U95" s="254">
        <f t="shared" si="19"/>
        <v>1290830.5385682813</v>
      </c>
      <c r="V95" s="254">
        <f t="shared" si="20"/>
        <v>1049850.7904702495</v>
      </c>
      <c r="W95" s="252">
        <f t="shared" si="22"/>
        <v>8228000</v>
      </c>
      <c r="X95" s="252">
        <f t="shared" si="23"/>
        <v>0</v>
      </c>
      <c r="Y95" s="252">
        <f t="shared" si="24"/>
        <v>14498878.653651614</v>
      </c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  <c r="L96" s="567" t="s">
        <v>304</v>
      </c>
      <c r="M96" s="570"/>
      <c r="P96" s="249">
        <v>90</v>
      </c>
      <c r="Q96" s="251">
        <f t="shared" ref="Q96:Q128" ca="1" si="25">Q95+30</f>
        <v>48761</v>
      </c>
      <c r="R96" s="251" t="str">
        <f t="shared" ca="1" si="17"/>
        <v>July 2033</v>
      </c>
      <c r="S96" s="252">
        <f t="shared" si="21"/>
        <v>20539093.804547682</v>
      </c>
      <c r="T96" s="252"/>
      <c r="U96" s="254">
        <f t="shared" si="19"/>
        <v>1311587.4597230169</v>
      </c>
      <c r="V96" s="254">
        <f t="shared" si="20"/>
        <v>1061667.2767255933</v>
      </c>
      <c r="W96" s="252">
        <f t="shared" si="22"/>
        <v>8228000</v>
      </c>
      <c r="X96" s="252">
        <f t="shared" si="23"/>
        <v>0</v>
      </c>
      <c r="Y96" s="252">
        <f t="shared" si="24"/>
        <v>14684348.540996294</v>
      </c>
    </row>
    <row r="97" spans="2:2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L97" s="567"/>
      <c r="M97" s="570"/>
      <c r="P97" s="249">
        <v>91</v>
      </c>
      <c r="Q97" s="251">
        <f t="shared" ca="1" si="25"/>
        <v>48791</v>
      </c>
      <c r="R97" s="251" t="str">
        <f t="shared" ca="1" si="17"/>
        <v>July 2033</v>
      </c>
      <c r="S97" s="252">
        <f t="shared" ref="S97:S128" si="26">($V$1/12+1)*S96+T96</f>
        <v>20693137.00808179</v>
      </c>
      <c r="T97" s="252"/>
      <c r="U97" s="254">
        <f t="shared" si="19"/>
        <v>1332517.3552207088</v>
      </c>
      <c r="V97" s="254">
        <f t="shared" si="20"/>
        <v>1073483.762980937</v>
      </c>
      <c r="W97" s="252">
        <f t="shared" ref="W97:W128" si="27">W96+X96</f>
        <v>8228000</v>
      </c>
      <c r="X97" s="252">
        <f t="shared" ref="X97:X128" si="28">T97</f>
        <v>0</v>
      </c>
      <c r="Y97" s="252">
        <f t="shared" ref="Y97:Y128" si="29">SUM(S97:V97)-W97</f>
        <v>14871138.126283437</v>
      </c>
    </row>
    <row r="98" spans="2:2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L98" s="567" t="s">
        <v>300</v>
      </c>
      <c r="M98" s="570">
        <v>1200000</v>
      </c>
      <c r="N98" s="570"/>
      <c r="O98" s="570"/>
      <c r="P98" s="249">
        <v>92</v>
      </c>
      <c r="Q98" s="251">
        <f t="shared" ca="1" si="25"/>
        <v>48821</v>
      </c>
      <c r="R98" s="251" t="str">
        <f t="shared" ca="1" si="17"/>
        <v>August 2033</v>
      </c>
      <c r="S98" s="252">
        <f t="shared" si="26"/>
        <v>20848335.535642404</v>
      </c>
      <c r="T98" s="252"/>
      <c r="U98" s="254">
        <f t="shared" si="19"/>
        <v>1353621.6665142146</v>
      </c>
      <c r="V98" s="254">
        <f t="shared" si="20"/>
        <v>1085300.2492362808</v>
      </c>
      <c r="W98" s="252">
        <f t="shared" si="27"/>
        <v>8228000</v>
      </c>
      <c r="X98" s="252">
        <f t="shared" si="28"/>
        <v>0</v>
      </c>
      <c r="Y98" s="252">
        <f t="shared" si="29"/>
        <v>15059257.4513929</v>
      </c>
    </row>
    <row r="99" spans="2:2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  <c r="L99" s="567"/>
      <c r="M99" s="570"/>
      <c r="N99" s="570"/>
      <c r="O99" s="570"/>
      <c r="P99" s="249">
        <v>93</v>
      </c>
      <c r="Q99" s="251">
        <f t="shared" ca="1" si="25"/>
        <v>48851</v>
      </c>
      <c r="R99" s="251" t="str">
        <f t="shared" ca="1" si="17"/>
        <v>September 2033</v>
      </c>
      <c r="S99" s="252">
        <f t="shared" si="26"/>
        <v>21004698.052159723</v>
      </c>
      <c r="T99" s="252"/>
      <c r="U99" s="254">
        <f t="shared" si="19"/>
        <v>1374901.8470684998</v>
      </c>
      <c r="V99" s="254">
        <f t="shared" si="20"/>
        <v>1097116.7354916246</v>
      </c>
      <c r="W99" s="252">
        <f t="shared" si="27"/>
        <v>8228000</v>
      </c>
      <c r="X99" s="252">
        <f t="shared" si="28"/>
        <v>0</v>
      </c>
      <c r="Y99" s="252">
        <f t="shared" si="29"/>
        <v>15248716.634719849</v>
      </c>
    </row>
    <row r="100" spans="2:2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  <c r="L100" s="567"/>
      <c r="M100" s="291"/>
      <c r="P100" s="249">
        <v>94</v>
      </c>
      <c r="Q100" s="251">
        <f t="shared" ca="1" si="25"/>
        <v>48881</v>
      </c>
      <c r="R100" s="251" t="str">
        <f t="shared" ca="1" si="17"/>
        <v>October 2033</v>
      </c>
      <c r="S100" s="252">
        <f t="shared" si="26"/>
        <v>21162233.287550922</v>
      </c>
      <c r="T100" s="252"/>
      <c r="U100" s="254">
        <f t="shared" si="19"/>
        <v>1396359.3624607371</v>
      </c>
      <c r="V100" s="254">
        <f t="shared" si="20"/>
        <v>1108933.2217469683</v>
      </c>
      <c r="W100" s="252">
        <f t="shared" si="27"/>
        <v>8228000</v>
      </c>
      <c r="X100" s="252">
        <f t="shared" si="28"/>
        <v>0</v>
      </c>
      <c r="Y100" s="252">
        <f t="shared" si="29"/>
        <v>15439525.871758629</v>
      </c>
    </row>
    <row r="101" spans="2:2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0</v>
      </c>
      <c r="L101" s="567"/>
      <c r="P101" s="249">
        <v>95</v>
      </c>
      <c r="Q101" s="251">
        <f t="shared" ca="1" si="25"/>
        <v>48911</v>
      </c>
      <c r="R101" s="251" t="str">
        <f t="shared" ca="1" si="17"/>
        <v>November 2033</v>
      </c>
      <c r="S101" s="252">
        <f t="shared" si="26"/>
        <v>21320950.037207555</v>
      </c>
      <c r="T101" s="252"/>
      <c r="U101" s="254">
        <f t="shared" si="19"/>
        <v>1417995.6904812432</v>
      </c>
      <c r="V101" s="254">
        <f t="shared" si="20"/>
        <v>1120749.7080023121</v>
      </c>
      <c r="W101" s="252">
        <f t="shared" si="27"/>
        <v>8228000</v>
      </c>
      <c r="X101" s="252">
        <f t="shared" si="28"/>
        <v>0</v>
      </c>
      <c r="Y101" s="252">
        <f t="shared" si="29"/>
        <v>15631695.435691111</v>
      </c>
    </row>
    <row r="102" spans="2:2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644000</v>
      </c>
      <c r="I102" s="270" t="s">
        <v>212</v>
      </c>
      <c r="L102" s="567" t="s">
        <v>302</v>
      </c>
      <c r="M102" s="570">
        <v>3680000</v>
      </c>
      <c r="P102" s="249">
        <v>96</v>
      </c>
      <c r="Q102" s="251">
        <f t="shared" ca="1" si="25"/>
        <v>48941</v>
      </c>
      <c r="R102" s="251" t="str">
        <f t="shared" ca="1" si="17"/>
        <v>December 2033</v>
      </c>
      <c r="S102" s="252">
        <f t="shared" si="26"/>
        <v>21480857.162486613</v>
      </c>
      <c r="T102" s="252"/>
      <c r="U102" s="254">
        <f t="shared" si="19"/>
        <v>1439812.3212352535</v>
      </c>
      <c r="V102" s="254">
        <f t="shared" si="20"/>
        <v>1132566.1942576559</v>
      </c>
      <c r="W102" s="252">
        <f t="shared" si="27"/>
        <v>8228000</v>
      </c>
      <c r="X102" s="252">
        <f t="shared" si="28"/>
        <v>0</v>
      </c>
      <c r="Y102" s="252">
        <f t="shared" si="29"/>
        <v>15825235.677979521</v>
      </c>
    </row>
    <row r="103" spans="2:25" ht="35" x14ac:dyDescent="0.35">
      <c r="B103" s="270"/>
      <c r="C103" s="270"/>
      <c r="D103" s="273"/>
      <c r="E103" s="270"/>
      <c r="F103" s="271"/>
      <c r="G103" s="270"/>
      <c r="H103" s="273"/>
      <c r="L103" s="567"/>
      <c r="M103" s="291"/>
      <c r="P103" s="249">
        <v>97</v>
      </c>
      <c r="Q103" s="251">
        <f t="shared" ca="1" si="25"/>
        <v>48971</v>
      </c>
      <c r="R103" s="251" t="str">
        <f t="shared" ca="1" si="17"/>
        <v>January 2034</v>
      </c>
      <c r="S103" s="252">
        <f t="shared" si="26"/>
        <v>21641963.591205265</v>
      </c>
      <c r="T103" s="252"/>
      <c r="U103" s="254">
        <f t="shared" si="19"/>
        <v>1461810.7572455471</v>
      </c>
      <c r="V103" s="254">
        <f t="shared" si="20"/>
        <v>1144382.6805129997</v>
      </c>
      <c r="W103" s="252">
        <f t="shared" si="27"/>
        <v>8228000</v>
      </c>
      <c r="X103" s="252">
        <f t="shared" si="28"/>
        <v>0</v>
      </c>
      <c r="Y103" s="252">
        <f t="shared" si="29"/>
        <v>16020157.028963812</v>
      </c>
    </row>
    <row r="104" spans="2:2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654000</v>
      </c>
      <c r="I104" s="270">
        <f>H104*0.075</f>
        <v>49050</v>
      </c>
      <c r="L104" s="567" t="s">
        <v>299</v>
      </c>
      <c r="M104" s="570">
        <f>SUM(M88:M100)-M102</f>
        <v>-5000</v>
      </c>
      <c r="P104" s="249">
        <v>98</v>
      </c>
      <c r="Q104" s="251">
        <f t="shared" ca="1" si="25"/>
        <v>49001</v>
      </c>
      <c r="R104" s="251" t="str">
        <f t="shared" ca="1" si="17"/>
        <v>February 2034</v>
      </c>
      <c r="S104" s="252">
        <f t="shared" si="26"/>
        <v>21804278.318139307</v>
      </c>
      <c r="T104" s="252"/>
      <c r="U104" s="254">
        <f t="shared" si="19"/>
        <v>1483992.5135559267</v>
      </c>
      <c r="V104" s="254">
        <f t="shared" si="20"/>
        <v>1156199.1667683434</v>
      </c>
      <c r="W104" s="252">
        <f t="shared" si="27"/>
        <v>8228000</v>
      </c>
      <c r="X104" s="252">
        <f t="shared" si="28"/>
        <v>0</v>
      </c>
      <c r="Y104" s="252">
        <f t="shared" si="29"/>
        <v>16216469.998463575</v>
      </c>
    </row>
    <row r="105" spans="2:2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  <c r="L105" s="567" t="s">
        <v>298</v>
      </c>
      <c r="M105" s="570"/>
      <c r="P105" s="249">
        <v>99</v>
      </c>
      <c r="Q105" s="251">
        <f t="shared" ca="1" si="25"/>
        <v>49031</v>
      </c>
      <c r="R105" s="251" t="str">
        <f t="shared" ca="1" si="17"/>
        <v>March 2034</v>
      </c>
      <c r="S105" s="252">
        <f t="shared" si="26"/>
        <v>21967810.405525353</v>
      </c>
      <c r="T105" s="252"/>
      <c r="U105" s="254">
        <f t="shared" si="19"/>
        <v>1506359.1178355594</v>
      </c>
      <c r="V105" s="254">
        <f t="shared" si="20"/>
        <v>1168015.6530236872</v>
      </c>
      <c r="W105" s="252">
        <f t="shared" si="27"/>
        <v>8228000</v>
      </c>
      <c r="X105" s="252">
        <f t="shared" si="28"/>
        <v>0</v>
      </c>
      <c r="Y105" s="252">
        <f t="shared" si="29"/>
        <v>16414185.176384598</v>
      </c>
    </row>
    <row r="106" spans="2:2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  <c r="L106" s="567"/>
      <c r="M106" s="570"/>
      <c r="N106" s="570"/>
      <c r="P106" s="249">
        <v>100</v>
      </c>
      <c r="Q106" s="251">
        <f t="shared" ca="1" si="25"/>
        <v>49061</v>
      </c>
      <c r="R106" s="251" t="str">
        <f t="shared" ca="1" si="17"/>
        <v>April 2034</v>
      </c>
      <c r="S106" s="252">
        <f t="shared" si="26"/>
        <v>22132568.983566795</v>
      </c>
      <c r="T106" s="252"/>
      <c r="U106" s="254">
        <f t="shared" si="19"/>
        <v>1528912.1104841891</v>
      </c>
      <c r="V106" s="254">
        <f t="shared" si="20"/>
        <v>1179832.139279031</v>
      </c>
      <c r="W106" s="252">
        <f t="shared" si="27"/>
        <v>8228000</v>
      </c>
      <c r="X106" s="252">
        <f t="shared" si="28"/>
        <v>0</v>
      </c>
      <c r="Y106" s="252">
        <f t="shared" si="29"/>
        <v>16613313.233330015</v>
      </c>
    </row>
    <row r="107" spans="2:25" ht="36" thickBot="1" x14ac:dyDescent="0.4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  <c r="L107" s="580" t="s">
        <v>311</v>
      </c>
      <c r="M107" s="570"/>
      <c r="N107" s="570"/>
      <c r="P107" s="249">
        <v>101</v>
      </c>
      <c r="Q107" s="251">
        <f t="shared" ca="1" si="25"/>
        <v>49091</v>
      </c>
      <c r="R107" s="251" t="str">
        <f t="shared" ca="1" si="17"/>
        <v>May 2034</v>
      </c>
      <c r="S107" s="252">
        <f t="shared" si="26"/>
        <v>22298563.250943545</v>
      </c>
      <c r="T107" s="252"/>
      <c r="U107" s="254">
        <f t="shared" si="19"/>
        <v>1551653.044738224</v>
      </c>
      <c r="V107" s="254">
        <f t="shared" si="20"/>
        <v>1191648.6255343747</v>
      </c>
      <c r="W107" s="252">
        <f t="shared" si="27"/>
        <v>8228000</v>
      </c>
      <c r="X107" s="252">
        <f t="shared" si="28"/>
        <v>0</v>
      </c>
      <c r="Y107" s="252">
        <f t="shared" si="29"/>
        <v>16813864.921216145</v>
      </c>
    </row>
    <row r="108" spans="2:25" ht="35" x14ac:dyDescent="0.35">
      <c r="B108" s="270"/>
      <c r="C108" s="270"/>
      <c r="D108" s="273"/>
      <c r="E108" s="270"/>
      <c r="F108" s="271"/>
      <c r="G108" s="271"/>
      <c r="H108" s="271"/>
      <c r="L108" s="571" t="s">
        <v>284</v>
      </c>
      <c r="M108" s="572">
        <f>N108*0.97</f>
        <v>1862400</v>
      </c>
      <c r="N108" s="572">
        <v>1920000</v>
      </c>
      <c r="O108" s="589"/>
      <c r="P108" s="249">
        <v>102</v>
      </c>
      <c r="Q108" s="251">
        <f ca="1">Q107+30</f>
        <v>49121</v>
      </c>
      <c r="R108" s="251" t="str">
        <f t="shared" ca="1" si="17"/>
        <v>June 2034</v>
      </c>
      <c r="S108" s="252">
        <f t="shared" si="26"/>
        <v>22465802.475325622</v>
      </c>
      <c r="T108" s="252"/>
      <c r="U108" s="254">
        <f t="shared" si="19"/>
        <v>1574583.4867777091</v>
      </c>
      <c r="V108" s="254">
        <f t="shared" si="20"/>
        <v>1203465.1117897185</v>
      </c>
      <c r="W108" s="252">
        <f t="shared" si="27"/>
        <v>8228000</v>
      </c>
      <c r="X108" s="252">
        <f t="shared" si="28"/>
        <v>0</v>
      </c>
      <c r="Y108" s="252">
        <f t="shared" si="29"/>
        <v>17015851.073893048</v>
      </c>
    </row>
    <row r="109" spans="2:25" ht="35" x14ac:dyDescent="0.35">
      <c r="B109" s="280" t="s">
        <v>198</v>
      </c>
      <c r="C109" s="281"/>
      <c r="D109" s="282"/>
      <c r="E109" s="289"/>
      <c r="F109" s="271"/>
      <c r="G109" s="271"/>
      <c r="H109" s="271"/>
      <c r="L109" s="574" t="s">
        <v>296</v>
      </c>
      <c r="M109" s="575">
        <f>M124-N122</f>
        <v>1311200</v>
      </c>
      <c r="N109" s="575">
        <f>PMT(6%/12,30*12,M109)*-1</f>
        <v>7861.3064858028883</v>
      </c>
      <c r="O109" s="588">
        <f>N109*12</f>
        <v>94335.67782963466</v>
      </c>
      <c r="P109" s="249">
        <v>103</v>
      </c>
      <c r="Q109" s="251">
        <f t="shared" ca="1" si="25"/>
        <v>49151</v>
      </c>
      <c r="R109" s="251" t="str">
        <f t="shared" ca="1" si="17"/>
        <v>July 2034</v>
      </c>
      <c r="S109" s="252">
        <f t="shared" si="26"/>
        <v>22634295.993890565</v>
      </c>
      <c r="T109" s="252"/>
      <c r="U109" s="254">
        <f t="shared" si="19"/>
        <v>1597705.01583419</v>
      </c>
      <c r="V109" s="254">
        <f t="shared" si="20"/>
        <v>1215281.5980450623</v>
      </c>
      <c r="W109" s="252">
        <f t="shared" si="27"/>
        <v>8228000</v>
      </c>
      <c r="X109" s="252">
        <f t="shared" si="28"/>
        <v>0</v>
      </c>
      <c r="Y109" s="252">
        <f t="shared" si="29"/>
        <v>17219282.607769817</v>
      </c>
    </row>
    <row r="110" spans="2:2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  <c r="L110" s="574"/>
      <c r="M110" s="247"/>
      <c r="N110" s="119"/>
      <c r="O110" s="588">
        <f>O109*5</f>
        <v>471678.38914817327</v>
      </c>
      <c r="P110" s="249">
        <v>104</v>
      </c>
      <c r="Q110" s="251">
        <f t="shared" ca="1" si="25"/>
        <v>49181</v>
      </c>
      <c r="R110" s="251" t="str">
        <f t="shared" ca="1" si="17"/>
        <v>August 2034</v>
      </c>
      <c r="S110" s="252">
        <f t="shared" si="26"/>
        <v>22804053.213844746</v>
      </c>
      <c r="T110" s="252"/>
      <c r="U110" s="254">
        <f t="shared" si="19"/>
        <v>1621019.2242994749</v>
      </c>
      <c r="V110" s="254">
        <f t="shared" si="20"/>
        <v>1227098.084300406</v>
      </c>
      <c r="W110" s="252">
        <f t="shared" si="27"/>
        <v>8228000</v>
      </c>
      <c r="X110" s="252">
        <f t="shared" si="28"/>
        <v>0</v>
      </c>
      <c r="Y110" s="252">
        <f t="shared" si="29"/>
        <v>17424170.522444628</v>
      </c>
    </row>
    <row r="111" spans="2:2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  <c r="L111" s="574" t="s">
        <v>294</v>
      </c>
      <c r="M111" s="575"/>
      <c r="N111" s="119"/>
      <c r="O111" s="587"/>
      <c r="P111" s="249">
        <v>105</v>
      </c>
      <c r="Q111" s="251">
        <f t="shared" ca="1" si="25"/>
        <v>49211</v>
      </c>
      <c r="R111" s="251" t="str">
        <f t="shared" ca="1" si="17"/>
        <v>September 2034</v>
      </c>
      <c r="S111" s="252">
        <f t="shared" si="26"/>
        <v>22975083.612948582</v>
      </c>
      <c r="T111" s="252"/>
      <c r="U111" s="254">
        <f t="shared" si="19"/>
        <v>1644527.7178353039</v>
      </c>
      <c r="V111" s="254">
        <f t="shared" si="20"/>
        <v>1238914.5705557498</v>
      </c>
      <c r="W111" s="252">
        <f t="shared" si="27"/>
        <v>8228000</v>
      </c>
      <c r="X111" s="252">
        <f t="shared" si="28"/>
        <v>0</v>
      </c>
      <c r="Y111" s="252">
        <f t="shared" si="29"/>
        <v>17630525.901339635</v>
      </c>
    </row>
    <row r="112" spans="2:2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  <c r="L112" s="574" t="s">
        <v>295</v>
      </c>
      <c r="M112" s="575"/>
      <c r="N112" s="119"/>
      <c r="O112" s="587"/>
      <c r="P112" s="249">
        <v>106</v>
      </c>
      <c r="Q112" s="251">
        <f t="shared" ca="1" si="25"/>
        <v>49241</v>
      </c>
      <c r="R112" s="251" t="str">
        <f t="shared" ca="1" si="17"/>
        <v>October 2034</v>
      </c>
      <c r="S112" s="252">
        <f t="shared" si="26"/>
        <v>23147396.740045696</v>
      </c>
      <c r="T112" s="252"/>
      <c r="U112" s="254">
        <f t="shared" si="19"/>
        <v>1668232.1154839313</v>
      </c>
      <c r="V112" s="254">
        <f t="shared" si="20"/>
        <v>1250731.0568110936</v>
      </c>
      <c r="W112" s="252">
        <f t="shared" si="27"/>
        <v>8228000</v>
      </c>
      <c r="X112" s="252">
        <f t="shared" si="28"/>
        <v>0</v>
      </c>
      <c r="Y112" s="252">
        <f t="shared" si="29"/>
        <v>17838359.912340723</v>
      </c>
    </row>
    <row r="113" spans="2:25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  <c r="L113" s="574"/>
      <c r="M113" s="575"/>
      <c r="N113" s="119"/>
      <c r="O113" s="587"/>
      <c r="P113" s="249">
        <v>107</v>
      </c>
      <c r="Q113" s="251">
        <f t="shared" ca="1" si="25"/>
        <v>49271</v>
      </c>
      <c r="R113" s="251" t="str">
        <f t="shared" ca="1" si="17"/>
        <v>November 2034</v>
      </c>
      <c r="S113" s="252">
        <f t="shared" si="26"/>
        <v>23321002.215596039</v>
      </c>
      <c r="T113" s="252"/>
      <c r="U113" s="254">
        <f t="shared" si="19"/>
        <v>1692134.0497796307</v>
      </c>
      <c r="V113" s="254">
        <f t="shared" si="20"/>
        <v>1262547.5430664374</v>
      </c>
      <c r="W113" s="252">
        <f t="shared" si="27"/>
        <v>8228000</v>
      </c>
      <c r="X113" s="252">
        <f t="shared" si="28"/>
        <v>0</v>
      </c>
      <c r="Y113" s="252">
        <f t="shared" si="29"/>
        <v>18047683.808442108</v>
      </c>
    </row>
    <row r="114" spans="2:25" ht="35" x14ac:dyDescent="0.35">
      <c r="B114" s="270"/>
      <c r="C114" s="270"/>
      <c r="D114" s="273"/>
      <c r="E114" s="270"/>
      <c r="F114" s="271"/>
      <c r="G114" s="271"/>
      <c r="H114" s="271"/>
      <c r="L114" s="574" t="s">
        <v>301</v>
      </c>
      <c r="M114" s="575">
        <f>0.05*3500000</f>
        <v>175000</v>
      </c>
      <c r="N114" s="119"/>
      <c r="O114" s="587"/>
      <c r="P114" s="249">
        <v>108</v>
      </c>
      <c r="Q114" s="251">
        <f t="shared" ca="1" si="25"/>
        <v>49301</v>
      </c>
      <c r="R114" s="251" t="str">
        <f t="shared" ca="1" si="17"/>
        <v>December 2034</v>
      </c>
      <c r="S114" s="252">
        <f t="shared" si="26"/>
        <v>23495909.732213009</v>
      </c>
      <c r="T114" s="252"/>
      <c r="U114" s="254">
        <f t="shared" si="19"/>
        <v>1716235.1668611276</v>
      </c>
      <c r="V114" s="254">
        <f t="shared" si="20"/>
        <v>1274364.0293217811</v>
      </c>
      <c r="W114" s="252">
        <f t="shared" si="27"/>
        <v>8228000</v>
      </c>
      <c r="X114" s="252">
        <f t="shared" si="28"/>
        <v>0</v>
      </c>
      <c r="Y114" s="252">
        <f t="shared" si="29"/>
        <v>18258508.92839592</v>
      </c>
    </row>
    <row r="115" spans="2:25" ht="35" x14ac:dyDescent="0.35">
      <c r="B115" s="270"/>
      <c r="C115" s="270"/>
      <c r="D115" s="273"/>
      <c r="E115" s="270"/>
      <c r="F115" s="271"/>
      <c r="G115" s="271"/>
      <c r="H115" s="271"/>
      <c r="L115" s="574" t="s">
        <v>333</v>
      </c>
      <c r="M115" s="575">
        <v>176400</v>
      </c>
      <c r="N115" s="119"/>
      <c r="O115" s="587"/>
      <c r="P115" s="249">
        <v>109</v>
      </c>
      <c r="Q115" s="251">
        <f t="shared" ca="1" si="25"/>
        <v>49331</v>
      </c>
      <c r="R115" s="251" t="str">
        <f t="shared" ca="1" si="17"/>
        <v>January 2035</v>
      </c>
      <c r="S115" s="252">
        <f t="shared" si="26"/>
        <v>23672129.055204608</v>
      </c>
      <c r="T115" s="252"/>
      <c r="U115" s="254">
        <f t="shared" si="19"/>
        <v>1740537.1265849702</v>
      </c>
      <c r="V115" s="254">
        <f t="shared" si="20"/>
        <v>1286180.5155771249</v>
      </c>
      <c r="W115" s="252">
        <f t="shared" si="27"/>
        <v>8228000</v>
      </c>
      <c r="X115" s="252">
        <f t="shared" si="28"/>
        <v>0</v>
      </c>
      <c r="Y115" s="252">
        <f t="shared" si="29"/>
        <v>18470846.697366703</v>
      </c>
    </row>
    <row r="116" spans="2:25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  <c r="L116" s="574" t="s">
        <v>334</v>
      </c>
      <c r="M116" s="575">
        <v>70000</v>
      </c>
      <c r="N116" s="119"/>
      <c r="O116" s="587"/>
      <c r="P116" s="249">
        <v>110</v>
      </c>
      <c r="Q116" s="251">
        <f t="shared" ca="1" si="25"/>
        <v>49361</v>
      </c>
      <c r="R116" s="251" t="str">
        <f t="shared" ca="1" si="17"/>
        <v>February 2035</v>
      </c>
      <c r="S116" s="252">
        <f t="shared" si="26"/>
        <v>23849670.023118645</v>
      </c>
      <c r="T116" s="252"/>
      <c r="U116" s="254">
        <f t="shared" si="19"/>
        <v>1765041.6026398449</v>
      </c>
      <c r="V116" s="254">
        <f t="shared" si="20"/>
        <v>1297997.0018324687</v>
      </c>
      <c r="W116" s="252">
        <f t="shared" si="27"/>
        <v>8228000</v>
      </c>
      <c r="X116" s="252">
        <f t="shared" si="28"/>
        <v>0</v>
      </c>
      <c r="Y116" s="252">
        <f t="shared" si="29"/>
        <v>18684708.627590962</v>
      </c>
    </row>
    <row r="117" spans="2:25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  <c r="L117" s="574" t="s">
        <v>308</v>
      </c>
      <c r="M117" s="575"/>
      <c r="N117" s="119"/>
      <c r="O117" s="587"/>
      <c r="P117" s="249">
        <v>111</v>
      </c>
      <c r="Q117" s="251">
        <f t="shared" ca="1" si="25"/>
        <v>49391</v>
      </c>
      <c r="R117" s="251" t="str">
        <f t="shared" ca="1" si="17"/>
        <v>March 2035</v>
      </c>
      <c r="S117" s="252">
        <f t="shared" si="26"/>
        <v>24028542.548292037</v>
      </c>
      <c r="T117" s="252"/>
      <c r="U117" s="254">
        <f t="shared" si="19"/>
        <v>1789750.2826618436</v>
      </c>
      <c r="V117" s="254">
        <f t="shared" si="20"/>
        <v>1309813.4880878124</v>
      </c>
      <c r="W117" s="252">
        <f t="shared" si="27"/>
        <v>8228000</v>
      </c>
      <c r="X117" s="252">
        <f t="shared" si="28"/>
        <v>0</v>
      </c>
      <c r="Y117" s="252">
        <f t="shared" si="29"/>
        <v>18900106.319041692</v>
      </c>
    </row>
    <row r="118" spans="2:25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  <c r="L118" s="574" t="s">
        <v>286</v>
      </c>
      <c r="M118" s="575"/>
      <c r="N118" s="119"/>
      <c r="O118" s="587"/>
      <c r="P118" s="249">
        <v>112</v>
      </c>
      <c r="Q118" s="251">
        <f ca="1">Q117+30</f>
        <v>49421</v>
      </c>
      <c r="R118" s="251" t="str">
        <f t="shared" ca="1" si="17"/>
        <v>April 2035</v>
      </c>
      <c r="S118" s="252">
        <f t="shared" si="26"/>
        <v>24208756.61740423</v>
      </c>
      <c r="T118" s="252"/>
      <c r="U118" s="254">
        <f t="shared" si="19"/>
        <v>1814664.8683506923</v>
      </c>
      <c r="V118" s="254">
        <f t="shared" si="20"/>
        <v>1321629.9743431562</v>
      </c>
      <c r="W118" s="252">
        <f t="shared" si="27"/>
        <v>8228000</v>
      </c>
      <c r="X118" s="252">
        <f t="shared" si="28"/>
        <v>0</v>
      </c>
      <c r="Y118" s="252">
        <f t="shared" si="29"/>
        <v>19117051.460098077</v>
      </c>
    </row>
    <row r="119" spans="2:25" ht="35" x14ac:dyDescent="0.35">
      <c r="B119" s="270"/>
      <c r="C119" s="270"/>
      <c r="D119" s="273"/>
      <c r="E119" s="270"/>
      <c r="F119" s="271"/>
      <c r="G119" s="271"/>
      <c r="H119" s="271"/>
      <c r="L119" s="574" t="s">
        <v>309</v>
      </c>
      <c r="M119" s="575"/>
      <c r="N119" s="119"/>
      <c r="O119" s="587"/>
      <c r="P119" s="249">
        <v>113</v>
      </c>
      <c r="Q119" s="251">
        <f t="shared" ca="1" si="25"/>
        <v>49451</v>
      </c>
      <c r="R119" s="251" t="str">
        <f t="shared" ca="1" si="17"/>
        <v>May 2035</v>
      </c>
      <c r="S119" s="252">
        <f t="shared" si="26"/>
        <v>24390322.292034764</v>
      </c>
      <c r="T119" s="252"/>
      <c r="U119" s="254">
        <f t="shared" si="19"/>
        <v>1839787.0755869481</v>
      </c>
      <c r="V119" s="254">
        <f t="shared" si="20"/>
        <v>1333446.4605985</v>
      </c>
      <c r="W119" s="252">
        <f t="shared" si="27"/>
        <v>8228000</v>
      </c>
      <c r="X119" s="252">
        <f t="shared" si="28"/>
        <v>0</v>
      </c>
      <c r="Y119" s="252">
        <f t="shared" si="29"/>
        <v>19335555.828220211</v>
      </c>
    </row>
    <row r="120" spans="2:25" ht="35" x14ac:dyDescent="0.35">
      <c r="B120" s="283" t="s">
        <v>199</v>
      </c>
      <c r="C120" s="284"/>
      <c r="D120" s="285"/>
      <c r="E120" s="289"/>
      <c r="F120" s="271"/>
      <c r="G120" s="271"/>
      <c r="H120" s="271"/>
      <c r="L120" s="574" t="s">
        <v>332</v>
      </c>
      <c r="M120" s="575">
        <v>85000</v>
      </c>
      <c r="N120" s="575"/>
      <c r="O120" s="576"/>
      <c r="P120" s="249">
        <v>114</v>
      </c>
      <c r="Q120" s="251">
        <f t="shared" ca="1" si="25"/>
        <v>49481</v>
      </c>
      <c r="R120" s="251" t="str">
        <f t="shared" ca="1" si="17"/>
        <v>June 2035</v>
      </c>
      <c r="S120" s="252">
        <f t="shared" si="26"/>
        <v>24573249.709225025</v>
      </c>
      <c r="T120" s="252"/>
      <c r="U120" s="254">
        <f t="shared" si="19"/>
        <v>1865118.6345501726</v>
      </c>
      <c r="V120" s="254">
        <f t="shared" si="20"/>
        <v>1345262.9468538438</v>
      </c>
      <c r="W120" s="252">
        <f t="shared" si="27"/>
        <v>8228000</v>
      </c>
      <c r="X120" s="252">
        <f t="shared" si="28"/>
        <v>0</v>
      </c>
      <c r="Y120" s="252">
        <f t="shared" si="29"/>
        <v>19555631.29062904</v>
      </c>
    </row>
    <row r="121" spans="2:25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  <c r="L121" s="574"/>
      <c r="M121" s="575"/>
      <c r="N121" s="119"/>
      <c r="O121" s="576"/>
      <c r="P121" s="249">
        <v>115</v>
      </c>
      <c r="Q121" s="251">
        <f t="shared" ca="1" si="25"/>
        <v>49511</v>
      </c>
      <c r="R121" s="251" t="str">
        <f t="shared" ca="1" si="17"/>
        <v>July 2035</v>
      </c>
      <c r="S121" s="252">
        <f t="shared" si="26"/>
        <v>24757549.082044214</v>
      </c>
      <c r="T121" s="252"/>
      <c r="U121" s="254">
        <f t="shared" si="19"/>
        <v>1890661.2898380905</v>
      </c>
      <c r="V121" s="254">
        <f t="shared" si="20"/>
        <v>1357079.4331091875</v>
      </c>
      <c r="W121" s="252">
        <f t="shared" si="27"/>
        <v>8228000</v>
      </c>
      <c r="X121" s="252">
        <f t="shared" si="28"/>
        <v>0</v>
      </c>
      <c r="Y121" s="252">
        <f t="shared" si="29"/>
        <v>19777289.804991491</v>
      </c>
    </row>
    <row r="122" spans="2:25" ht="35" x14ac:dyDescent="0.35">
      <c r="B122" s="270"/>
      <c r="C122" s="270"/>
      <c r="D122" s="273"/>
      <c r="E122" s="270"/>
      <c r="F122" s="271"/>
      <c r="G122" s="271"/>
      <c r="H122" s="271"/>
      <c r="L122" s="581" t="s">
        <v>312</v>
      </c>
      <c r="M122" s="247"/>
      <c r="N122" s="575">
        <f>SUM(M108,M110:M123)</f>
        <v>2368800</v>
      </c>
      <c r="O122" s="587"/>
      <c r="P122" s="249">
        <v>116</v>
      </c>
      <c r="Q122" s="251">
        <f t="shared" ca="1" si="25"/>
        <v>49541</v>
      </c>
      <c r="R122" s="251" t="str">
        <f t="shared" ca="1" si="17"/>
        <v>August 2035</v>
      </c>
      <c r="S122" s="252">
        <f t="shared" si="26"/>
        <v>24943230.700159546</v>
      </c>
      <c r="T122" s="252"/>
      <c r="U122" s="254">
        <f t="shared" si="19"/>
        <v>1916416.8005867412</v>
      </c>
      <c r="V122" s="254">
        <f t="shared" si="20"/>
        <v>1368895.9193645313</v>
      </c>
      <c r="W122" s="252">
        <f t="shared" si="27"/>
        <v>8228000</v>
      </c>
      <c r="X122" s="252">
        <f t="shared" si="28"/>
        <v>0</v>
      </c>
      <c r="Y122" s="252">
        <f t="shared" si="29"/>
        <v>20000543.420110818</v>
      </c>
    </row>
    <row r="123" spans="2:25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  <c r="L123" s="574"/>
      <c r="M123" s="119"/>
      <c r="N123" s="119"/>
      <c r="O123" s="587"/>
      <c r="P123" s="249">
        <v>117</v>
      </c>
      <c r="Q123" s="251">
        <f t="shared" ca="1" si="25"/>
        <v>49571</v>
      </c>
      <c r="R123" s="251" t="str">
        <f t="shared" ca="1" si="17"/>
        <v>September 2035</v>
      </c>
      <c r="S123" s="252">
        <f t="shared" si="26"/>
        <v>25130304.930410743</v>
      </c>
      <c r="T123" s="252"/>
      <c r="U123" s="254">
        <f t="shared" si="19"/>
        <v>1942386.9405916305</v>
      </c>
      <c r="V123" s="254">
        <f t="shared" si="20"/>
        <v>1380712.4056198751</v>
      </c>
      <c r="W123" s="252">
        <f t="shared" si="27"/>
        <v>8228000</v>
      </c>
      <c r="X123" s="252">
        <f t="shared" si="28"/>
        <v>0</v>
      </c>
      <c r="Y123" s="252">
        <f t="shared" si="29"/>
        <v>20225404.276622247</v>
      </c>
    </row>
    <row r="124" spans="2:25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  <c r="L124" s="574" t="s">
        <v>302</v>
      </c>
      <c r="M124" s="575">
        <v>3680000</v>
      </c>
      <c r="N124" s="119"/>
      <c r="O124" s="587"/>
      <c r="P124" s="249">
        <v>118</v>
      </c>
      <c r="Q124" s="251">
        <f t="shared" ca="1" si="25"/>
        <v>49601</v>
      </c>
      <c r="R124" s="251" t="str">
        <f t="shared" ca="1" si="17"/>
        <v>October 2035</v>
      </c>
      <c r="S124" s="252">
        <f t="shared" si="26"/>
        <v>25318782.217388824</v>
      </c>
      <c r="T124" s="252"/>
      <c r="U124" s="254">
        <f t="shared" si="19"/>
        <v>1968573.498429894</v>
      </c>
      <c r="V124" s="254">
        <f t="shared" si="20"/>
        <v>1392528.8918752188</v>
      </c>
      <c r="W124" s="252">
        <f t="shared" si="27"/>
        <v>8228000</v>
      </c>
      <c r="X124" s="252">
        <f t="shared" si="28"/>
        <v>0</v>
      </c>
      <c r="Y124" s="252">
        <f t="shared" si="29"/>
        <v>20451884.607693937</v>
      </c>
    </row>
    <row r="125" spans="2:25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  <c r="L125" s="574"/>
      <c r="M125" s="247"/>
      <c r="N125" s="119"/>
      <c r="O125" s="587"/>
      <c r="P125" s="249">
        <v>119</v>
      </c>
      <c r="Q125" s="251">
        <f t="shared" ca="1" si="25"/>
        <v>49631</v>
      </c>
      <c r="R125" s="251" t="str">
        <f t="shared" ca="1" si="17"/>
        <v>November 2035</v>
      </c>
      <c r="S125" s="252">
        <f t="shared" si="26"/>
        <v>25508673.08401924</v>
      </c>
      <c r="T125" s="252"/>
      <c r="U125" s="254">
        <f t="shared" si="19"/>
        <v>1994978.2775834764</v>
      </c>
      <c r="V125" s="254">
        <f t="shared" si="20"/>
        <v>1404345.3781305626</v>
      </c>
      <c r="W125" s="252">
        <f t="shared" si="27"/>
        <v>8228000</v>
      </c>
      <c r="X125" s="252">
        <f t="shared" si="28"/>
        <v>0</v>
      </c>
      <c r="Y125" s="252">
        <f t="shared" si="29"/>
        <v>20679996.739733279</v>
      </c>
    </row>
    <row r="126" spans="2:25" ht="35" x14ac:dyDescent="0.35">
      <c r="B126" s="270"/>
      <c r="C126" s="270"/>
      <c r="D126" s="271"/>
      <c r="E126" s="270"/>
      <c r="F126" s="271"/>
      <c r="G126" s="271"/>
      <c r="H126" s="271"/>
      <c r="L126" s="574" t="s">
        <v>299</v>
      </c>
      <c r="M126" s="575"/>
      <c r="N126" s="119"/>
      <c r="O126" s="587"/>
      <c r="P126" s="249">
        <v>120</v>
      </c>
      <c r="Q126" s="251">
        <f t="shared" ca="1" si="25"/>
        <v>49661</v>
      </c>
      <c r="R126" s="251" t="str">
        <f t="shared" ca="1" si="17"/>
        <v>December 2035</v>
      </c>
      <c r="S126" s="252">
        <f t="shared" si="26"/>
        <v>25699988.132149387</v>
      </c>
      <c r="T126" s="252"/>
      <c r="U126" s="254">
        <f t="shared" si="19"/>
        <v>2021603.0965633385</v>
      </c>
      <c r="V126" s="254">
        <f t="shared" si="20"/>
        <v>1416161.8643859064</v>
      </c>
      <c r="W126" s="252">
        <f t="shared" si="27"/>
        <v>8228000</v>
      </c>
      <c r="X126" s="252">
        <f t="shared" si="28"/>
        <v>0</v>
      </c>
      <c r="Y126" s="252">
        <f t="shared" si="29"/>
        <v>20909753.093098633</v>
      </c>
    </row>
    <row r="127" spans="2:25" ht="35" x14ac:dyDescent="0.35">
      <c r="B127" s="286" t="s">
        <v>200</v>
      </c>
      <c r="C127" s="287"/>
      <c r="D127" s="288"/>
      <c r="E127" s="270"/>
      <c r="F127" s="271"/>
      <c r="G127" s="271"/>
      <c r="H127" s="271"/>
      <c r="L127" s="574" t="s">
        <v>298</v>
      </c>
      <c r="M127" s="575"/>
      <c r="N127" s="119"/>
      <c r="O127" s="587"/>
      <c r="P127" s="249">
        <v>121</v>
      </c>
      <c r="Q127" s="251">
        <f t="shared" ca="1" si="25"/>
        <v>49691</v>
      </c>
      <c r="R127" s="251" t="str">
        <f t="shared" ca="1" si="17"/>
        <v>January 2036</v>
      </c>
      <c r="S127" s="252">
        <f t="shared" si="26"/>
        <v>25892738.043140508</v>
      </c>
      <c r="T127" s="252"/>
      <c r="U127" s="254">
        <f t="shared" si="19"/>
        <v>2048449.7890346996</v>
      </c>
      <c r="V127" s="254">
        <f t="shared" si="20"/>
        <v>1427978.3506412501</v>
      </c>
      <c r="W127" s="252">
        <f t="shared" si="27"/>
        <v>8228000</v>
      </c>
      <c r="X127" s="252">
        <f t="shared" si="28"/>
        <v>0</v>
      </c>
      <c r="Y127" s="252">
        <f t="shared" si="29"/>
        <v>21141166.182816457</v>
      </c>
    </row>
    <row r="128" spans="2:25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  <c r="L128" s="577"/>
      <c r="M128" s="119"/>
      <c r="N128" s="119"/>
      <c r="O128" s="587"/>
      <c r="P128" s="249">
        <v>122</v>
      </c>
      <c r="Q128" s="251">
        <f t="shared" ca="1" si="25"/>
        <v>49721</v>
      </c>
      <c r="R128" s="251" t="str">
        <f t="shared" ca="1" si="17"/>
        <v>February 2036</v>
      </c>
      <c r="S128" s="252">
        <f t="shared" si="26"/>
        <v>26086933.578464065</v>
      </c>
      <c r="T128" s="252"/>
      <c r="U128" s="254">
        <f t="shared" si="19"/>
        <v>2075520.2039433219</v>
      </c>
      <c r="V128" s="254">
        <f t="shared" si="20"/>
        <v>1439794.8368965939</v>
      </c>
      <c r="W128" s="252">
        <f t="shared" si="27"/>
        <v>8228000</v>
      </c>
      <c r="X128" s="252">
        <f t="shared" si="28"/>
        <v>0</v>
      </c>
      <c r="Y128" s="252">
        <f t="shared" si="29"/>
        <v>21374248.619303983</v>
      </c>
    </row>
    <row r="129" spans="2:16" ht="36" thickBot="1" x14ac:dyDescent="0.4">
      <c r="B129" s="270" t="s">
        <v>203</v>
      </c>
      <c r="C129" s="270"/>
      <c r="D129" s="273">
        <v>8000</v>
      </c>
      <c r="E129" s="270"/>
      <c r="F129" s="271"/>
      <c r="G129" s="271"/>
      <c r="H129" s="271"/>
      <c r="L129" s="578"/>
      <c r="M129" s="590"/>
      <c r="N129" s="590"/>
      <c r="O129" s="591"/>
    </row>
    <row r="130" spans="2:16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16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16" ht="35" x14ac:dyDescent="0.35">
      <c r="B132" s="270" t="s">
        <v>208</v>
      </c>
      <c r="D132" s="273">
        <v>27000</v>
      </c>
      <c r="E132" s="270"/>
      <c r="F132" s="271"/>
      <c r="G132" s="271"/>
      <c r="H132" s="271"/>
      <c r="K132" s="567"/>
      <c r="L132" s="567"/>
      <c r="M132" s="567"/>
      <c r="N132" s="567"/>
      <c r="O132" s="567"/>
      <c r="P132" s="567"/>
    </row>
    <row r="133" spans="2:16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  <c r="K133" s="567"/>
      <c r="L133" s="567" t="s">
        <v>305</v>
      </c>
      <c r="M133" s="567"/>
      <c r="N133" s="567"/>
      <c r="O133" s="567" t="s">
        <v>303</v>
      </c>
      <c r="P133" s="567">
        <f>SUM(M133:M135)</f>
        <v>1000000</v>
      </c>
    </row>
    <row r="134" spans="2:16" ht="35" x14ac:dyDescent="0.35">
      <c r="B134" s="270"/>
      <c r="C134" s="270"/>
      <c r="D134" s="273"/>
      <c r="E134" s="270"/>
      <c r="F134" s="271"/>
      <c r="G134" s="271"/>
      <c r="H134" s="271"/>
      <c r="K134" s="567"/>
      <c r="L134" s="567" t="s">
        <v>306</v>
      </c>
      <c r="M134" s="567"/>
      <c r="O134" s="567"/>
      <c r="P134" s="567"/>
    </row>
    <row r="135" spans="2:16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  <c r="K135" s="567"/>
      <c r="L135" s="567" t="s">
        <v>307</v>
      </c>
      <c r="M135" s="567">
        <v>1000000</v>
      </c>
      <c r="N135" s="567"/>
      <c r="O135" s="567"/>
      <c r="P135" s="567"/>
    </row>
    <row r="136" spans="2:16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  <c r="K136" s="567"/>
      <c r="L136" s="567"/>
      <c r="M136" s="567"/>
      <c r="N136" s="567"/>
      <c r="O136" s="567"/>
      <c r="P136" s="567"/>
    </row>
    <row r="137" spans="2:16" ht="35" x14ac:dyDescent="0.35">
      <c r="B137" s="272" t="s">
        <v>206</v>
      </c>
      <c r="C137" s="272"/>
      <c r="D137" s="274">
        <f>D136/0.05</f>
        <v>13521104.6</v>
      </c>
      <c r="K137" s="567"/>
      <c r="L137" s="567"/>
      <c r="M137" s="567"/>
      <c r="N137" s="567"/>
      <c r="O137" s="567"/>
      <c r="P137" s="567"/>
    </row>
    <row r="138" spans="2:16" ht="35" x14ac:dyDescent="0.35">
      <c r="K138" s="567"/>
      <c r="L138" s="567"/>
      <c r="M138" s="567"/>
      <c r="N138" s="567"/>
      <c r="O138" s="567"/>
      <c r="P138" s="567"/>
    </row>
    <row r="139" spans="2:16" ht="35" x14ac:dyDescent="0.35">
      <c r="K139" s="567"/>
      <c r="L139" s="567" t="s">
        <v>313</v>
      </c>
      <c r="M139" s="567"/>
      <c r="N139" s="567"/>
      <c r="O139" s="567"/>
      <c r="P139" s="567"/>
    </row>
    <row r="140" spans="2:16" ht="35" x14ac:dyDescent="0.35">
      <c r="K140" s="567"/>
      <c r="L140" s="567" t="s">
        <v>314</v>
      </c>
      <c r="M140" s="567"/>
      <c r="N140" s="567"/>
      <c r="O140" s="567"/>
      <c r="P140" s="567"/>
    </row>
    <row r="141" spans="2:16" ht="35" x14ac:dyDescent="0.35">
      <c r="K141" s="567"/>
      <c r="L141" s="567" t="s">
        <v>315</v>
      </c>
      <c r="M141" s="567"/>
      <c r="N141" s="567"/>
      <c r="O141" s="567"/>
      <c r="P141" s="567"/>
    </row>
    <row r="142" spans="2:16" ht="35" x14ac:dyDescent="0.35">
      <c r="K142" s="567"/>
      <c r="L142" s="567"/>
      <c r="M142" s="567"/>
      <c r="N142" s="567"/>
      <c r="O142" s="567"/>
      <c r="P142" s="567"/>
    </row>
    <row r="143" spans="2:16" ht="35" x14ac:dyDescent="0.35">
      <c r="K143" s="567"/>
      <c r="L143" s="567"/>
      <c r="M143" s="567"/>
      <c r="N143" s="567"/>
      <c r="O143" s="567"/>
      <c r="P143" s="567"/>
    </row>
    <row r="144" spans="2:16" ht="35" x14ac:dyDescent="0.35">
      <c r="K144" s="567"/>
      <c r="L144" s="567"/>
      <c r="M144" s="567"/>
      <c r="N144" s="567"/>
      <c r="O144" s="567"/>
      <c r="P144" s="567"/>
    </row>
    <row r="145" spans="11:16" ht="35" x14ac:dyDescent="0.35">
      <c r="K145" s="567"/>
      <c r="L145" s="567"/>
      <c r="M145" s="567"/>
      <c r="N145" s="567"/>
      <c r="O145" s="567"/>
      <c r="P145" s="567"/>
    </row>
    <row r="146" spans="11:16" ht="35" x14ac:dyDescent="0.35">
      <c r="K146" s="567"/>
      <c r="L146" s="567"/>
      <c r="M146" s="567"/>
      <c r="N146" s="567"/>
      <c r="O146" s="567"/>
      <c r="P146" s="567"/>
    </row>
    <row r="147" spans="11:16" ht="35" x14ac:dyDescent="0.35">
      <c r="K147" s="567"/>
      <c r="L147" s="567"/>
      <c r="M147" s="567"/>
      <c r="N147" s="567"/>
      <c r="O147" s="567"/>
      <c r="P147" s="567"/>
    </row>
    <row r="148" spans="11:16" ht="35" x14ac:dyDescent="0.35">
      <c r="K148" s="567"/>
      <c r="L148" s="567"/>
      <c r="M148" s="567"/>
      <c r="N148" s="567"/>
      <c r="O148" s="567"/>
      <c r="P148" s="567"/>
    </row>
    <row r="149" spans="11:16" ht="35" x14ac:dyDescent="0.35">
      <c r="K149" s="567"/>
      <c r="L149" s="567"/>
      <c r="M149" s="567"/>
      <c r="N149" s="567"/>
      <c r="O149" s="567"/>
      <c r="P149" s="567"/>
    </row>
    <row r="150" spans="11:16" ht="35" x14ac:dyDescent="0.35">
      <c r="K150" s="567"/>
      <c r="L150" s="567"/>
      <c r="M150" s="567"/>
      <c r="N150" s="567"/>
      <c r="O150" s="567"/>
      <c r="P150" s="567"/>
    </row>
    <row r="151" spans="11:16" ht="35" x14ac:dyDescent="0.35">
      <c r="K151" s="567"/>
      <c r="L151" s="567"/>
      <c r="M151" s="567"/>
      <c r="N151" s="567"/>
      <c r="O151" s="567"/>
      <c r="P151" s="567"/>
    </row>
    <row r="152" spans="11:16" ht="35" x14ac:dyDescent="0.35">
      <c r="K152" s="567"/>
      <c r="L152" s="567"/>
      <c r="M152" s="567"/>
      <c r="N152" s="567"/>
      <c r="O152" s="567"/>
      <c r="P152" s="567"/>
    </row>
    <row r="153" spans="11:16" ht="35" x14ac:dyDescent="0.35">
      <c r="K153" s="567"/>
      <c r="L153" s="567"/>
      <c r="M153" s="567"/>
      <c r="N153" s="567"/>
      <c r="O153" s="567"/>
      <c r="P153" s="567"/>
    </row>
    <row r="154" spans="11:16" ht="35" x14ac:dyDescent="0.35">
      <c r="K154" s="567"/>
      <c r="L154" s="567"/>
      <c r="M154" s="567"/>
      <c r="N154" s="567"/>
      <c r="O154" s="567"/>
      <c r="P154" s="567"/>
    </row>
    <row r="155" spans="11:16" ht="35" x14ac:dyDescent="0.35">
      <c r="K155" s="567"/>
      <c r="L155" s="567"/>
      <c r="M155" s="567"/>
      <c r="N155" s="567"/>
      <c r="O155" s="567"/>
      <c r="P155" s="567"/>
    </row>
    <row r="156" spans="11:16" ht="35" x14ac:dyDescent="0.35">
      <c r="K156" s="567"/>
      <c r="L156" s="567"/>
      <c r="M156" s="567"/>
      <c r="N156" s="567"/>
      <c r="O156" s="567"/>
      <c r="P156" s="567"/>
    </row>
    <row r="157" spans="11:16" ht="35" x14ac:dyDescent="0.35">
      <c r="K157" s="567"/>
      <c r="L157" s="567"/>
      <c r="M157" s="567"/>
      <c r="N157" s="567"/>
      <c r="O157" s="567"/>
      <c r="P157" s="567"/>
    </row>
    <row r="158" spans="11:16" ht="35" x14ac:dyDescent="0.35">
      <c r="K158" s="567"/>
      <c r="L158" s="567"/>
      <c r="M158" s="567"/>
      <c r="N158" s="567"/>
      <c r="O158" s="567"/>
      <c r="P158" s="567"/>
    </row>
    <row r="159" spans="11:16" ht="35" x14ac:dyDescent="0.35">
      <c r="K159" s="567"/>
      <c r="L159" s="567"/>
      <c r="M159" s="567"/>
      <c r="N159" s="567"/>
      <c r="O159" s="567"/>
      <c r="P159" s="567"/>
    </row>
    <row r="160" spans="11:16" ht="35" x14ac:dyDescent="0.35">
      <c r="K160" s="567"/>
      <c r="L160" s="567"/>
      <c r="M160" s="567"/>
      <c r="N160" s="567"/>
      <c r="O160" s="567"/>
      <c r="P160" s="567"/>
    </row>
    <row r="161" spans="11:16" ht="35" x14ac:dyDescent="0.35">
      <c r="K161" s="567"/>
      <c r="L161" s="567"/>
      <c r="M161" s="567"/>
      <c r="N161" s="567"/>
      <c r="O161" s="567"/>
      <c r="P161" s="567"/>
    </row>
    <row r="162" spans="11:16" ht="35" x14ac:dyDescent="0.35">
      <c r="K162" s="567"/>
      <c r="L162" s="567"/>
      <c r="M162" s="567"/>
      <c r="N162" s="567"/>
      <c r="O162" s="567"/>
      <c r="P162" s="567"/>
    </row>
    <row r="163" spans="11:16" ht="35" x14ac:dyDescent="0.35">
      <c r="K163" s="567"/>
      <c r="L163" s="567"/>
      <c r="M163" s="567"/>
      <c r="N163" s="567"/>
      <c r="O163" s="567"/>
      <c r="P163" s="567"/>
    </row>
    <row r="164" spans="11:16" ht="35" x14ac:dyDescent="0.35">
      <c r="K164" s="567"/>
      <c r="L164" s="567"/>
      <c r="M164" s="567"/>
      <c r="N164" s="567"/>
      <c r="O164" s="567"/>
      <c r="P164" s="567"/>
    </row>
    <row r="165" spans="11:16" ht="35" x14ac:dyDescent="0.35">
      <c r="K165" s="567"/>
      <c r="L165" s="567"/>
      <c r="M165" s="567"/>
      <c r="N165" s="567"/>
      <c r="O165" s="567"/>
      <c r="P165" s="567"/>
    </row>
    <row r="166" spans="11:16" ht="35" x14ac:dyDescent="0.35">
      <c r="K166" s="567"/>
      <c r="L166" s="567"/>
      <c r="M166" s="567"/>
      <c r="N166" s="567"/>
      <c r="O166" s="567"/>
      <c r="P166" s="567"/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A337-C528-1A4F-B600-B336E624A150}">
  <dimension ref="B1:AI166"/>
  <sheetViews>
    <sheetView showGridLines="0" topLeftCell="G85" zoomScale="40" zoomScaleNormal="40" workbookViewId="0">
      <selection activeCell="M109" sqref="M109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6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36.6640625" style="18" customWidth="1"/>
    <col min="15" max="15" width="29.6640625" style="18" customWidth="1"/>
    <col min="16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SUM(D8:D19)</f>
        <v>20923.069333333333</v>
      </c>
      <c r="I5" s="377">
        <f>H5*12</f>
        <v>251076.83199999999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140984.76</v>
      </c>
      <c r="D6" s="378">
        <f>M6</f>
        <v>11748.730000000001</v>
      </c>
      <c r="E6" s="379"/>
      <c r="F6" s="380"/>
      <c r="G6" s="365"/>
      <c r="H6" s="381"/>
      <c r="I6" s="382"/>
      <c r="K6" s="205"/>
      <c r="L6" s="212" t="s">
        <v>70</v>
      </c>
      <c r="M6" s="223">
        <f>(IF(N6&lt;=18200,N6,
 IF(N6&lt;=45000,N6-(N6-18200)*0.16,
 IF(N6&lt;=135000,N6-(4288+(N6-45000)*0.3),
 IF(N6&lt;=190000,N6-(31288+(N6-135000)*0.37),
 N6-(51638+(N6-190000)*0.45))))))*0.98/12</f>
        <v>11748.730000000001</v>
      </c>
      <c r="N6" s="498">
        <v>200000</v>
      </c>
      <c r="O6" s="582">
        <f>N6+(SUM(E16+E18+E14)*12/2)</f>
        <v>195148.79999999999</v>
      </c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140984.76</v>
      </c>
      <c r="D7" s="378">
        <f>M7</f>
        <v>11748.730000000001</v>
      </c>
      <c r="E7" s="383"/>
      <c r="F7" s="370"/>
      <c r="G7" s="365"/>
      <c r="H7" s="201"/>
      <c r="I7" s="384"/>
      <c r="K7" s="205"/>
      <c r="L7" s="212" t="s">
        <v>71</v>
      </c>
      <c r="M7" s="223">
        <f>(IF(N7&lt;=18200,N7,
 IF(N7&lt;=45000,N7-(N7-18200)*0.16,
 IF(N7&lt;=135000,N7-(4288+(N7-45000)*0.3),
 IF(N7&lt;=190000,N7-(31288+(N7-135000)*0.37),
 N7-(51638+(N7-190000)*0.45))))))*0.98/12</f>
        <v>11748.730000000001</v>
      </c>
      <c r="N7" s="498">
        <f>N6</f>
        <v>200000</v>
      </c>
      <c r="O7" s="12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8560000</v>
      </c>
      <c r="T7" s="252"/>
      <c r="U7" s="252">
        <f>SUM(E41:E43)</f>
        <v>400000</v>
      </c>
      <c r="V7" s="252">
        <f>$E$38</f>
        <v>10000</v>
      </c>
      <c r="W7" s="252">
        <f>$I$57</f>
        <v>5028000</v>
      </c>
      <c r="X7" s="252">
        <f>T7</f>
        <v>0</v>
      </c>
      <c r="Y7" s="252">
        <f t="shared" ref="Y7:Y66" si="1">SUM(S7:V7)-W7</f>
        <v>3942000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8609933.333333334</v>
      </c>
      <c r="T8" s="252"/>
      <c r="U8" s="254">
        <f>($V$2/12+1)*U7+$V$3</f>
        <v>413333.33333333331</v>
      </c>
      <c r="V8" s="254">
        <f>V7+$I$65</f>
        <v>18114.452344020756</v>
      </c>
      <c r="W8" s="252">
        <f>W7+X7</f>
        <v>5028000</v>
      </c>
      <c r="X8" s="252">
        <f t="shared" ref="X8:X66" si="2">T8</f>
        <v>0</v>
      </c>
      <c r="Y8" s="252">
        <f t="shared" si="1"/>
        <v>4013381.1190106887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8660157.9444444459</v>
      </c>
      <c r="T9" s="252"/>
      <c r="U9" s="254">
        <f t="shared" ref="U9:U66" si="4">($V$2/12+1)*U8+$V$3</f>
        <v>426777.77777777775</v>
      </c>
      <c r="V9" s="254">
        <f t="shared" ref="V9:V66" si="5">V8+$I$65</f>
        <v>26228.904688041512</v>
      </c>
      <c r="W9" s="252">
        <f t="shared" ref="W9:W66" si="6">W8+X8</f>
        <v>5028000</v>
      </c>
      <c r="X9" s="252">
        <f t="shared" si="2"/>
        <v>0</v>
      </c>
      <c r="Y9" s="252">
        <f t="shared" si="1"/>
        <v>4085164.6269102655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8710675.5324537046</v>
      </c>
      <c r="T10" s="252"/>
      <c r="U10" s="254">
        <f t="shared" si="4"/>
        <v>440334.25925925921</v>
      </c>
      <c r="V10" s="254">
        <f t="shared" si="5"/>
        <v>34343.357032062268</v>
      </c>
      <c r="W10" s="252">
        <f t="shared" si="6"/>
        <v>5028000</v>
      </c>
      <c r="X10" s="252">
        <f t="shared" si="2"/>
        <v>0</v>
      </c>
      <c r="Y10" s="252">
        <f t="shared" si="1"/>
        <v>4157353.1487450264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8761487.806393018</v>
      </c>
      <c r="T11" s="252"/>
      <c r="U11" s="254">
        <f t="shared" si="4"/>
        <v>454003.71141975303</v>
      </c>
      <c r="V11" s="254">
        <f t="shared" si="5"/>
        <v>42457.809376083023</v>
      </c>
      <c r="W11" s="252">
        <f t="shared" si="6"/>
        <v>5028000</v>
      </c>
      <c r="X11" s="252">
        <f t="shared" si="2"/>
        <v>0</v>
      </c>
      <c r="Y11" s="252">
        <f t="shared" si="1"/>
        <v>4229949.327188855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8812596.4852636438</v>
      </c>
      <c r="T12" s="252"/>
      <c r="U12" s="254">
        <f t="shared" si="4"/>
        <v>467787.07568158431</v>
      </c>
      <c r="V12" s="254">
        <f t="shared" si="5"/>
        <v>50572.261720103779</v>
      </c>
      <c r="W12" s="252">
        <f t="shared" si="6"/>
        <v>5028000</v>
      </c>
      <c r="X12" s="252">
        <f t="shared" si="2"/>
        <v>0</v>
      </c>
      <c r="Y12" s="252">
        <f t="shared" si="1"/>
        <v>4302955.8226653319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8864003.298094349</v>
      </c>
      <c r="T13" s="252"/>
      <c r="U13" s="254">
        <f t="shared" si="4"/>
        <v>481685.30131226417</v>
      </c>
      <c r="V13" s="254">
        <f t="shared" si="5"/>
        <v>58686.714064124535</v>
      </c>
      <c r="W13" s="252">
        <f t="shared" si="6"/>
        <v>5028000</v>
      </c>
      <c r="X13" s="252">
        <f t="shared" si="2"/>
        <v>0</v>
      </c>
      <c r="Y13" s="252">
        <f t="shared" si="1"/>
        <v>4376375.313470738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 t="shared" ref="C14:C18" si="8">D14*12</f>
        <v>36400</v>
      </c>
      <c r="D14" s="378">
        <f>M14*52/12</f>
        <v>3033.3333333333335</v>
      </c>
      <c r="E14" s="392">
        <f>SUM(D14-D23)</f>
        <v>-22.993333333333339</v>
      </c>
      <c r="F14" s="391"/>
      <c r="G14" s="544" t="s">
        <v>68</v>
      </c>
      <c r="H14" s="539">
        <f>C14/E49</f>
        <v>3.6767676767676769E-2</v>
      </c>
      <c r="I14" s="542">
        <f>(D14-M29)/E49*12</f>
        <v>2.94069494949495E-2</v>
      </c>
      <c r="K14" s="205"/>
      <c r="L14" s="212" t="s">
        <v>220</v>
      </c>
      <c r="M14" s="223">
        <v>700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8915709.9839998987</v>
      </c>
      <c r="T14" s="252"/>
      <c r="U14" s="254">
        <f t="shared" si="4"/>
        <v>495699.34548986633</v>
      </c>
      <c r="V14" s="254">
        <f t="shared" si="5"/>
        <v>66801.166408145291</v>
      </c>
      <c r="W14" s="252">
        <f t="shared" si="6"/>
        <v>5028000</v>
      </c>
      <c r="X14" s="252">
        <f t="shared" si="2"/>
        <v>0</v>
      </c>
      <c r="Y14" s="252">
        <f t="shared" si="1"/>
        <v>4450210.4958979115</v>
      </c>
      <c r="Z14" s="255"/>
      <c r="AA14" s="255"/>
      <c r="AB14" s="255"/>
      <c r="AC14" s="255"/>
    </row>
    <row r="15" spans="2:35" ht="45" x14ac:dyDescent="0.45">
      <c r="B15" s="365" t="s">
        <v>327</v>
      </c>
      <c r="C15" s="391">
        <f t="shared" si="8"/>
        <v>39000</v>
      </c>
      <c r="D15" s="378">
        <f>M15*52/12</f>
        <v>3250</v>
      </c>
      <c r="E15" s="392">
        <f>SUM(D15-D24)</f>
        <v>1336.6666666666667</v>
      </c>
      <c r="F15" s="391"/>
      <c r="G15" s="544" t="s">
        <v>69</v>
      </c>
      <c r="H15" s="539">
        <f>C15/E50</f>
        <v>6.5000000000000002E-2</v>
      </c>
      <c r="I15" s="542">
        <f>(D15-M30)/E50*12</f>
        <v>6.5000000000000002E-2</v>
      </c>
      <c r="K15" s="205"/>
      <c r="L15" s="212" t="s">
        <v>327</v>
      </c>
      <c r="M15" s="223">
        <v>750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8967718.2922398988</v>
      </c>
      <c r="T15" s="252"/>
      <c r="U15" s="254">
        <f t="shared" si="4"/>
        <v>509830.17336894851</v>
      </c>
      <c r="V15" s="254">
        <f t="shared" si="5"/>
        <v>74915.618752166047</v>
      </c>
      <c r="W15" s="252">
        <f t="shared" si="6"/>
        <v>5028000</v>
      </c>
      <c r="X15" s="252">
        <f t="shared" si="2"/>
        <v>0</v>
      </c>
      <c r="Y15" s="252">
        <f t="shared" si="1"/>
        <v>4524464.084361013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 t="shared" si="8"/>
        <v>37960</v>
      </c>
      <c r="D16" s="378">
        <f>M16*52/12</f>
        <v>3163.3333333333335</v>
      </c>
      <c r="E16" s="392">
        <f>SUM(D16-D25)</f>
        <v>-1390.5399999999995</v>
      </c>
      <c r="F16" s="391"/>
      <c r="G16" s="544" t="s">
        <v>217</v>
      </c>
      <c r="H16" s="539">
        <f>C16/E51</f>
        <v>5.0613333333333337E-2</v>
      </c>
      <c r="I16" s="542">
        <f>(D16-M31)/E51*12</f>
        <v>3.7447359999999999E-2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9020029.9822779652</v>
      </c>
      <c r="T16" s="252"/>
      <c r="U16" s="254">
        <f t="shared" si="4"/>
        <v>524078.75814702309</v>
      </c>
      <c r="V16" s="254">
        <f t="shared" si="5"/>
        <v>83030.071096186803</v>
      </c>
      <c r="W16" s="252">
        <f t="shared" si="6"/>
        <v>5028000</v>
      </c>
      <c r="X16" s="252">
        <f t="shared" si="2"/>
        <v>0</v>
      </c>
      <c r="Y16" s="252">
        <f t="shared" si="1"/>
        <v>4599138.8115211762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 t="shared" si="8"/>
        <v>44200</v>
      </c>
      <c r="D17" s="378">
        <f>M17*52/12</f>
        <v>3683.3333333333335</v>
      </c>
      <c r="E17" s="392">
        <f>SUM(D17-D26)</f>
        <v>-1119.1399999999999</v>
      </c>
      <c r="F17" s="391"/>
      <c r="G17" s="544" t="s">
        <v>244</v>
      </c>
      <c r="H17" s="539">
        <f>C17/E52</f>
        <v>5.3902439024390243E-2</v>
      </c>
      <c r="I17" s="542">
        <f>(D17-M32)/E52*12</f>
        <v>4.1302341463414632E-2</v>
      </c>
      <c r="K17" s="205"/>
      <c r="L17" s="212" t="s">
        <v>243</v>
      </c>
      <c r="M17" s="223">
        <v>850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9072646.8238412533</v>
      </c>
      <c r="T17" s="252">
        <f>$V$4</f>
        <v>2000000</v>
      </c>
      <c r="U17" s="254">
        <f t="shared" si="4"/>
        <v>538446.08113158157</v>
      </c>
      <c r="V17" s="254">
        <f t="shared" si="5"/>
        <v>91144.523440207558</v>
      </c>
      <c r="W17" s="252">
        <f t="shared" si="6"/>
        <v>5028000</v>
      </c>
      <c r="X17" s="252">
        <f t="shared" si="2"/>
        <v>2000000</v>
      </c>
      <c r="Y17" s="252">
        <f t="shared" si="1"/>
        <v>6674237.4284130428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Waterworks (per week)</v>
      </c>
      <c r="C18" s="391">
        <f t="shared" si="8"/>
        <v>80600</v>
      </c>
      <c r="D18" s="378">
        <f>M18*52/12</f>
        <v>6716.666666666667</v>
      </c>
      <c r="E18" s="392">
        <f>SUM(D18-D27)</f>
        <v>605</v>
      </c>
      <c r="F18" s="391"/>
      <c r="G18" s="545" t="s">
        <v>245</v>
      </c>
      <c r="H18" s="539">
        <f>C18/E53</f>
        <v>4.242105263157895E-2</v>
      </c>
      <c r="I18" s="542">
        <f>(D18-M33)/E53*12</f>
        <v>3.7052631578947365E-2</v>
      </c>
      <c r="K18" s="205"/>
      <c r="L18" s="214" t="s">
        <v>328</v>
      </c>
      <c r="M18" s="224">
        <v>1550</v>
      </c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11125570.596980328</v>
      </c>
      <c r="T18" s="252"/>
      <c r="U18" s="254">
        <f t="shared" si="4"/>
        <v>552933.13180767803</v>
      </c>
      <c r="V18" s="254">
        <f t="shared" si="5"/>
        <v>99258.975784228314</v>
      </c>
      <c r="W18" s="252">
        <f t="shared" si="6"/>
        <v>7028000</v>
      </c>
      <c r="X18" s="252">
        <f t="shared" si="2"/>
        <v>0</v>
      </c>
      <c r="Y18" s="252">
        <f t="shared" si="1"/>
        <v>4749762.7045722343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>
        <f>SUM(E14:E18)*0.4*-12</f>
        <v>2836.8319999999967</v>
      </c>
      <c r="D19" s="535">
        <f>C19/12</f>
        <v>236.40266666666639</v>
      </c>
      <c r="E19" s="534" cm="1">
        <f t="array" ref="E19">N6+(SUM(E16:E18+E14)*12/2)</f>
        <v>188158.04</v>
      </c>
      <c r="F19" s="391"/>
      <c r="G19" s="547" t="s">
        <v>56</v>
      </c>
      <c r="H19" s="548" t="s">
        <v>57</v>
      </c>
      <c r="I19" s="549">
        <f>SUM(D6:D19)</f>
        <v>44420.529333333339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11190469.758796047</v>
      </c>
      <c r="T19" s="252"/>
      <c r="U19" s="254">
        <f t="shared" si="4"/>
        <v>567540.90790607536</v>
      </c>
      <c r="V19" s="254">
        <f t="shared" si="5"/>
        <v>107373.42812824907</v>
      </c>
      <c r="W19" s="252">
        <f t="shared" si="6"/>
        <v>7028000</v>
      </c>
      <c r="X19" s="252">
        <f t="shared" si="2"/>
        <v>0</v>
      </c>
      <c r="Y19" s="252">
        <f t="shared" si="1"/>
        <v>4837384.0948303733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11255747.499055691</v>
      </c>
      <c r="T20" s="252"/>
      <c r="U20" s="254">
        <f t="shared" si="4"/>
        <v>582270.41547195928</v>
      </c>
      <c r="V20" s="254">
        <f t="shared" si="5"/>
        <v>115487.88047226983</v>
      </c>
      <c r="W20" s="252">
        <f t="shared" si="6"/>
        <v>7028000</v>
      </c>
      <c r="X20" s="252">
        <f t="shared" si="2"/>
        <v>0</v>
      </c>
      <c r="Y20" s="252">
        <f t="shared" si="1"/>
        <v>4925505.7949999198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11321406.026133517</v>
      </c>
      <c r="T21" s="252"/>
      <c r="U21" s="254">
        <f t="shared" si="4"/>
        <v>597122.66893422557</v>
      </c>
      <c r="V21" s="254">
        <f t="shared" si="5"/>
        <v>123602.33281629058</v>
      </c>
      <c r="W21" s="252">
        <f t="shared" si="6"/>
        <v>7028000</v>
      </c>
      <c r="X21" s="252">
        <f t="shared" si="2"/>
        <v>0</v>
      </c>
      <c r="Y21" s="252">
        <f t="shared" si="1"/>
        <v>5014131.0278840326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9">D22*12</f>
        <v>102365.61387175095</v>
      </c>
      <c r="D22" s="409">
        <f>PMT(M22/12, 25*12, -M75)</f>
        <v>8530.4678226459127</v>
      </c>
      <c r="E22" s="410"/>
      <c r="F22" s="402"/>
      <c r="G22" s="406"/>
      <c r="H22" s="201"/>
      <c r="I22" s="407"/>
      <c r="K22" s="205"/>
      <c r="L22" s="212" t="s">
        <v>118</v>
      </c>
      <c r="M22" s="225">
        <v>5.4199999999999998E-2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11387447.561285963</v>
      </c>
      <c r="T22" s="252"/>
      <c r="U22" s="254">
        <f t="shared" si="4"/>
        <v>612098.69117534405</v>
      </c>
      <c r="V22" s="254">
        <f t="shared" si="5"/>
        <v>131716.78516031132</v>
      </c>
      <c r="W22" s="252">
        <f t="shared" si="6"/>
        <v>7028000</v>
      </c>
      <c r="X22" s="252">
        <f t="shared" si="2"/>
        <v>0</v>
      </c>
      <c r="Y22" s="252">
        <f t="shared" si="1"/>
        <v>5103263.0376216173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9"/>
        <v>36675.919999999998</v>
      </c>
      <c r="D23" s="409">
        <f>M23*I49/12+(M29)</f>
        <v>3056.3266666666668</v>
      </c>
      <c r="E23" s="410"/>
      <c r="F23" s="402"/>
      <c r="G23" s="406"/>
      <c r="H23" s="201"/>
      <c r="I23" s="407"/>
      <c r="K23" s="205"/>
      <c r="L23" s="212" t="s">
        <v>167</v>
      </c>
      <c r="M23" s="225">
        <v>5.74E-2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11453874.338726798</v>
      </c>
      <c r="T23" s="252"/>
      <c r="U23" s="254">
        <f t="shared" si="4"/>
        <v>627199.5136018052</v>
      </c>
      <c r="V23" s="254">
        <f t="shared" si="5"/>
        <v>139831.23750433209</v>
      </c>
      <c r="W23" s="252">
        <f t="shared" si="6"/>
        <v>7028000</v>
      </c>
      <c r="X23" s="252">
        <f t="shared" si="2"/>
        <v>0</v>
      </c>
      <c r="Y23" s="252">
        <f t="shared" si="1"/>
        <v>5192905.0898329355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9"/>
        <v>22960</v>
      </c>
      <c r="D24" s="409">
        <f>M24*I50/12+(M30)</f>
        <v>1913.3333333333333</v>
      </c>
      <c r="E24" s="411"/>
      <c r="F24" s="412"/>
      <c r="G24" s="413" t="s">
        <v>86</v>
      </c>
      <c r="H24" s="376">
        <f>I19-I32</f>
        <v>8114.4523440207558</v>
      </c>
      <c r="I24" s="407"/>
      <c r="K24" s="205"/>
      <c r="L24" s="212" t="s">
        <v>168</v>
      </c>
      <c r="M24" s="225">
        <f>M23</f>
        <v>5.74E-2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11520688.605702704</v>
      </c>
      <c r="T24" s="252"/>
      <c r="U24" s="254">
        <f t="shared" si="4"/>
        <v>642426.17621515354</v>
      </c>
      <c r="V24" s="254">
        <f t="shared" si="5"/>
        <v>147945.68984835286</v>
      </c>
      <c r="W24" s="252">
        <f t="shared" si="6"/>
        <v>7028000</v>
      </c>
      <c r="X24" s="252">
        <f t="shared" si="2"/>
        <v>0</v>
      </c>
      <c r="Y24" s="252">
        <f t="shared" si="1"/>
        <v>5283060.4717662092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9"/>
        <v>54646.479999999996</v>
      </c>
      <c r="D25" s="409">
        <f>M25*I51/12+(M31)</f>
        <v>4553.873333333333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5.74E-2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11587892.622569304</v>
      </c>
      <c r="T25" s="252"/>
      <c r="U25" s="254">
        <f t="shared" si="4"/>
        <v>657779.72768361308</v>
      </c>
      <c r="V25" s="254">
        <f t="shared" si="5"/>
        <v>156060.14219237363</v>
      </c>
      <c r="W25" s="252">
        <f t="shared" si="6"/>
        <v>7028000</v>
      </c>
      <c r="X25" s="252">
        <f t="shared" si="2"/>
        <v>0</v>
      </c>
      <c r="Y25" s="252">
        <f t="shared" si="1"/>
        <v>5373732.4924452901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9"/>
        <v>57629.68</v>
      </c>
      <c r="D26" s="409">
        <f>M26*I52/12+(M32)</f>
        <v>4802.4733333333334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5.74E-2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11655488.662867624</v>
      </c>
      <c r="T26" s="252"/>
      <c r="U26" s="254">
        <f t="shared" si="4"/>
        <v>673261.22541430988</v>
      </c>
      <c r="V26" s="254">
        <f t="shared" si="5"/>
        <v>164174.5945363944</v>
      </c>
      <c r="W26" s="252">
        <f t="shared" si="6"/>
        <v>7028000</v>
      </c>
      <c r="X26" s="252">
        <f t="shared" si="2"/>
        <v>0</v>
      </c>
      <c r="Y26" s="252">
        <f t="shared" si="1"/>
        <v>5464924.4828183278</v>
      </c>
      <c r="Z26" s="255"/>
      <c r="AA26" s="255"/>
      <c r="AB26" s="255"/>
      <c r="AC26" s="255"/>
    </row>
    <row r="27" spans="2:29" ht="45" x14ac:dyDescent="0.45">
      <c r="B27" s="365" t="s">
        <v>329</v>
      </c>
      <c r="C27" s="408">
        <f t="shared" si="9"/>
        <v>73340</v>
      </c>
      <c r="D27" s="409">
        <f>M27*I53/12+(M33)</f>
        <v>6111.666666666667</v>
      </c>
      <c r="E27" s="410"/>
      <c r="F27" s="402"/>
      <c r="G27" s="494"/>
      <c r="H27" s="495"/>
      <c r="I27" s="407"/>
      <c r="K27" s="205"/>
      <c r="L27" s="212" t="s">
        <v>331</v>
      </c>
      <c r="M27" s="225">
        <f>M26</f>
        <v>5.74E-2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11723479.013401018</v>
      </c>
      <c r="T27" s="252"/>
      <c r="U27" s="254">
        <f t="shared" si="4"/>
        <v>688871.73562609579</v>
      </c>
      <c r="V27" s="254">
        <f t="shared" si="5"/>
        <v>172289.04688041518</v>
      </c>
      <c r="W27" s="252">
        <f t="shared" si="6"/>
        <v>7028000</v>
      </c>
      <c r="X27" s="252">
        <f t="shared" si="2"/>
        <v>0</v>
      </c>
      <c r="Y27" s="252">
        <f t="shared" si="1"/>
        <v>5556639.7959075291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11791865.974312525</v>
      </c>
      <c r="T28" s="252">
        <f>$V$4</f>
        <v>2000000</v>
      </c>
      <c r="U28" s="254">
        <f t="shared" si="4"/>
        <v>704612.33342297992</v>
      </c>
      <c r="V28" s="254">
        <f t="shared" si="5"/>
        <v>180403.49922443595</v>
      </c>
      <c r="W28" s="252">
        <f t="shared" si="6"/>
        <v>7028000</v>
      </c>
      <c r="X28" s="252">
        <f t="shared" si="2"/>
        <v>2000000</v>
      </c>
      <c r="Y28" s="252">
        <f t="shared" si="1"/>
        <v>7648881.8069599401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>
        <f>'Property Expenses'!C10</f>
        <v>607.26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13860651.859162683</v>
      </c>
      <c r="T29" s="252"/>
      <c r="U29" s="254">
        <f t="shared" si="4"/>
        <v>720484.10286817141</v>
      </c>
      <c r="V29" s="254">
        <f t="shared" si="5"/>
        <v>188517.95156845672</v>
      </c>
      <c r="W29" s="252">
        <f t="shared" si="6"/>
        <v>9028000</v>
      </c>
      <c r="X29" s="252">
        <f t="shared" si="2"/>
        <v>0</v>
      </c>
      <c r="Y29" s="252">
        <f t="shared" si="1"/>
        <v>5741653.9135993104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v>0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13941505.661674466</v>
      </c>
      <c r="T30" s="252"/>
      <c r="U30" s="254">
        <f t="shared" si="4"/>
        <v>736488.13705873943</v>
      </c>
      <c r="V30" s="254">
        <f t="shared" si="5"/>
        <v>196632.40391247749</v>
      </c>
      <c r="W30" s="252">
        <f t="shared" si="6"/>
        <v>9028000</v>
      </c>
      <c r="X30" s="252">
        <f t="shared" si="2"/>
        <v>0</v>
      </c>
      <c r="Y30" s="252">
        <f t="shared" si="1"/>
        <v>5846626.2026456818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14022831.111367567</v>
      </c>
      <c r="T31" s="252"/>
      <c r="U31" s="254">
        <f t="shared" si="4"/>
        <v>752625.53820089553</v>
      </c>
      <c r="V31" s="254">
        <f t="shared" si="5"/>
        <v>204746.85625649826</v>
      </c>
      <c r="W31" s="252">
        <f t="shared" si="6"/>
        <v>9028000</v>
      </c>
      <c r="X31" s="252">
        <f t="shared" si="2"/>
        <v>0</v>
      </c>
      <c r="Y31" s="252">
        <f t="shared" si="1"/>
        <v>5952203.5058249608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36306.076989312583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14104630.959517211</v>
      </c>
      <c r="T32" s="252"/>
      <c r="U32" s="254">
        <f t="shared" si="4"/>
        <v>768897.41768590303</v>
      </c>
      <c r="V32" s="254">
        <f t="shared" si="5"/>
        <v>212861.30860051903</v>
      </c>
      <c r="W32" s="252">
        <f t="shared" si="6"/>
        <v>9028000</v>
      </c>
      <c r="X32" s="252">
        <f t="shared" si="2"/>
        <v>0</v>
      </c>
      <c r="Y32" s="252">
        <f t="shared" si="1"/>
        <v>6058389.6858036332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330</v>
      </c>
      <c r="M33" s="532">
        <v>850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14186907.973447729</v>
      </c>
      <c r="T33" s="252"/>
      <c r="U33" s="254">
        <f t="shared" si="4"/>
        <v>785304.89616661891</v>
      </c>
      <c r="V33" s="254">
        <f t="shared" si="5"/>
        <v>220975.7609445398</v>
      </c>
      <c r="W33" s="252">
        <f t="shared" si="6"/>
        <v>9028000</v>
      </c>
      <c r="X33" s="252">
        <f t="shared" si="2"/>
        <v>0</v>
      </c>
      <c r="Y33" s="252">
        <f t="shared" si="1"/>
        <v>6165188.6305588875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14269664.936626174</v>
      </c>
      <c r="T34" s="252"/>
      <c r="U34" s="254">
        <f t="shared" si="4"/>
        <v>801849.1036346741</v>
      </c>
      <c r="V34" s="254">
        <f t="shared" si="5"/>
        <v>229090.21328856057</v>
      </c>
      <c r="W34" s="252">
        <f t="shared" si="6"/>
        <v>9028000</v>
      </c>
      <c r="X34" s="252">
        <f t="shared" si="2"/>
        <v>0</v>
      </c>
      <c r="Y34" s="252">
        <f t="shared" si="1"/>
        <v>6272604.2535494082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14352904.648756493</v>
      </c>
      <c r="T35" s="252"/>
      <c r="U35" s="254">
        <f t="shared" si="4"/>
        <v>818531.17949829635</v>
      </c>
      <c r="V35" s="254">
        <f t="shared" si="5"/>
        <v>237204.66563258134</v>
      </c>
      <c r="W35" s="252">
        <f t="shared" si="6"/>
        <v>9028000</v>
      </c>
      <c r="X35" s="252">
        <f t="shared" si="2"/>
        <v>0</v>
      </c>
      <c r="Y35" s="252">
        <f t="shared" si="1"/>
        <v>6380640.4938873705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14436629.925874239</v>
      </c>
      <c r="T36" s="252"/>
      <c r="U36" s="254">
        <f t="shared" si="4"/>
        <v>835352.2726607821</v>
      </c>
      <c r="V36" s="254">
        <f t="shared" si="5"/>
        <v>245319.11797660211</v>
      </c>
      <c r="W36" s="252">
        <f t="shared" si="6"/>
        <v>9028000</v>
      </c>
      <c r="X36" s="252">
        <f t="shared" si="2"/>
        <v>0</v>
      </c>
      <c r="Y36" s="252">
        <f t="shared" si="1"/>
        <v>6489301.3165116236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14520843.60044184</v>
      </c>
      <c r="T37" s="252"/>
      <c r="U37" s="254">
        <f t="shared" si="4"/>
        <v>852313.54159962188</v>
      </c>
      <c r="V37" s="254">
        <f t="shared" si="5"/>
        <v>253433.57032062288</v>
      </c>
      <c r="W37" s="252">
        <f t="shared" si="6"/>
        <v>9028000</v>
      </c>
      <c r="X37" s="252">
        <f t="shared" si="2"/>
        <v>0</v>
      </c>
      <c r="Y37" s="252">
        <f t="shared" si="1"/>
        <v>6598590.7123620845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10000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14605548.521444418</v>
      </c>
      <c r="T38" s="252"/>
      <c r="U38" s="254">
        <f t="shared" si="4"/>
        <v>869416.15444628533</v>
      </c>
      <c r="V38" s="254">
        <f t="shared" si="5"/>
        <v>261548.02266464365</v>
      </c>
      <c r="W38" s="252">
        <f t="shared" si="6"/>
        <v>9028000</v>
      </c>
      <c r="X38" s="252">
        <f t="shared" si="2"/>
        <v>0</v>
      </c>
      <c r="Y38" s="252">
        <f t="shared" si="1"/>
        <v>6708512.6985553466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14690747.554486178</v>
      </c>
      <c r="T39" s="252"/>
      <c r="U39" s="254">
        <f t="shared" si="4"/>
        <v>886661.28906667104</v>
      </c>
      <c r="V39" s="254">
        <f t="shared" si="5"/>
        <v>269662.47500866442</v>
      </c>
      <c r="W39" s="252">
        <f t="shared" si="6"/>
        <v>9028000</v>
      </c>
      <c r="X39" s="252">
        <f t="shared" si="2"/>
        <v>0</v>
      </c>
      <c r="Y39" s="252">
        <f t="shared" si="1"/>
        <v>6819071.318561513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14776443.581887348</v>
      </c>
      <c r="T40" s="252">
        <f>$V$4</f>
        <v>2000000</v>
      </c>
      <c r="U40" s="254">
        <f t="shared" si="4"/>
        <v>904050.13314222661</v>
      </c>
      <c r="V40" s="254">
        <f t="shared" si="5"/>
        <v>277776.92735268519</v>
      </c>
      <c r="W40" s="252">
        <f t="shared" si="6"/>
        <v>9028000</v>
      </c>
      <c r="X40" s="252">
        <f t="shared" si="2"/>
        <v>2000000</v>
      </c>
      <c r="Y40" s="252">
        <f t="shared" si="1"/>
        <v>8930270.6423822604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100000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16862639.502781689</v>
      </c>
      <c r="T41" s="252"/>
      <c r="U41" s="254">
        <f t="shared" si="4"/>
        <v>921583.88425174518</v>
      </c>
      <c r="V41" s="254">
        <f t="shared" si="5"/>
        <v>285891.37969670596</v>
      </c>
      <c r="W41" s="252">
        <f t="shared" si="6"/>
        <v>11028000</v>
      </c>
      <c r="X41" s="252">
        <f t="shared" si="2"/>
        <v>0</v>
      </c>
      <c r="Y41" s="252">
        <f t="shared" si="1"/>
        <v>7042114.7667301372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100000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16961004.899881251</v>
      </c>
      <c r="T42" s="252"/>
      <c r="U42" s="254">
        <f t="shared" si="4"/>
        <v>939263.74995384307</v>
      </c>
      <c r="V42" s="254">
        <f t="shared" si="5"/>
        <v>294005.83204072673</v>
      </c>
      <c r="W42" s="252">
        <f t="shared" si="6"/>
        <v>11028000</v>
      </c>
      <c r="X42" s="252">
        <f t="shared" si="2"/>
        <v>0</v>
      </c>
      <c r="Y42" s="252">
        <f t="shared" si="1"/>
        <v>7166274.4818758219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200000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17059944.095130559</v>
      </c>
      <c r="T43" s="252"/>
      <c r="U43" s="254">
        <f t="shared" si="4"/>
        <v>957090.94787012506</v>
      </c>
      <c r="V43" s="254">
        <f t="shared" si="5"/>
        <v>302120.2843847475</v>
      </c>
      <c r="W43" s="252">
        <f t="shared" si="6"/>
        <v>11028000</v>
      </c>
      <c r="X43" s="252">
        <f t="shared" si="2"/>
        <v>0</v>
      </c>
      <c r="Y43" s="252">
        <f t="shared" si="1"/>
        <v>7291155.3273854293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17159460.435685489</v>
      </c>
      <c r="T44" s="252"/>
      <c r="U44" s="254">
        <f t="shared" si="4"/>
        <v>975066.70576904272</v>
      </c>
      <c r="V44" s="254">
        <f t="shared" si="5"/>
        <v>310234.73672876827</v>
      </c>
      <c r="W44" s="252">
        <f t="shared" si="6"/>
        <v>11028000</v>
      </c>
      <c r="X44" s="252">
        <f t="shared" si="2"/>
        <v>0</v>
      </c>
      <c r="Y44" s="252">
        <f t="shared" si="1"/>
        <v>7416761.8781833015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17259557.288226988</v>
      </c>
      <c r="T45" s="252"/>
      <c r="U45" s="254">
        <f t="shared" si="4"/>
        <v>993192.26165045134</v>
      </c>
      <c r="V45" s="254">
        <f t="shared" si="5"/>
        <v>318349.18907278904</v>
      </c>
      <c r="W45" s="252">
        <f t="shared" si="6"/>
        <v>11028000</v>
      </c>
      <c r="X45" s="252">
        <f t="shared" si="2"/>
        <v>0</v>
      </c>
      <c r="Y45" s="252">
        <f t="shared" si="1"/>
        <v>7543098.7389502265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17360238.03907498</v>
      </c>
      <c r="T46" s="252"/>
      <c r="U46" s="254">
        <f t="shared" si="4"/>
        <v>1011468.8638308718</v>
      </c>
      <c r="V46" s="254">
        <f t="shared" si="5"/>
        <v>326463.64141680981</v>
      </c>
      <c r="W46" s="252">
        <f t="shared" si="6"/>
        <v>11028000</v>
      </c>
      <c r="X46" s="252">
        <f t="shared" si="2"/>
        <v>0</v>
      </c>
      <c r="Y46" s="252">
        <f t="shared" si="1"/>
        <v>7670170.5443226621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17461506.094302919</v>
      </c>
      <c r="T47" s="252"/>
      <c r="U47" s="254">
        <f t="shared" si="4"/>
        <v>1029897.7710294623</v>
      </c>
      <c r="V47" s="254">
        <f t="shared" si="5"/>
        <v>334578.09376083058</v>
      </c>
      <c r="W47" s="252">
        <f t="shared" si="6"/>
        <v>11028000</v>
      </c>
      <c r="X47" s="252">
        <f t="shared" si="2"/>
        <v>0</v>
      </c>
      <c r="Y47" s="252">
        <f t="shared" si="1"/>
        <v>7797981.9590932094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10">E48-I48</f>
        <v>2100000</v>
      </c>
      <c r="E48" s="433">
        <f t="shared" ref="E48:E53" si="11">M62</f>
        <v>3500000</v>
      </c>
      <c r="F48" s="366"/>
      <c r="G48" s="365" t="s">
        <v>6</v>
      </c>
      <c r="H48" s="201"/>
      <c r="I48" s="434">
        <f>M75</f>
        <v>1400000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17563364.879853021</v>
      </c>
      <c r="T48" s="252"/>
      <c r="U48" s="254">
        <f t="shared" si="4"/>
        <v>1048480.2524547079</v>
      </c>
      <c r="V48" s="254">
        <f t="shared" si="5"/>
        <v>342692.54610485135</v>
      </c>
      <c r="W48" s="252">
        <f t="shared" si="6"/>
        <v>11028000</v>
      </c>
      <c r="X48" s="252">
        <f t="shared" si="2"/>
        <v>0</v>
      </c>
      <c r="Y48" s="252">
        <f t="shared" si="1"/>
        <v>7926537.6784125827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10"/>
        <v>478000</v>
      </c>
      <c r="E49" s="433">
        <f t="shared" si="11"/>
        <v>990000</v>
      </c>
      <c r="F49" s="366"/>
      <c r="G49" s="406" t="s">
        <v>223</v>
      </c>
      <c r="H49" s="201"/>
      <c r="I49" s="434">
        <f>M77</f>
        <v>512000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17665817.841652166</v>
      </c>
      <c r="T49" s="252"/>
      <c r="U49" s="254">
        <f t="shared" si="4"/>
        <v>1067217.5878918304</v>
      </c>
      <c r="V49" s="254">
        <f t="shared" si="5"/>
        <v>350806.99844887212</v>
      </c>
      <c r="W49" s="252">
        <f t="shared" si="6"/>
        <v>11028000</v>
      </c>
      <c r="X49" s="252">
        <f t="shared" si="2"/>
        <v>0</v>
      </c>
      <c r="Y49" s="252">
        <f t="shared" si="1"/>
        <v>8055842.4279928692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10"/>
        <v>200000</v>
      </c>
      <c r="E50" s="433">
        <f t="shared" si="11"/>
        <v>600000</v>
      </c>
      <c r="F50" s="366"/>
      <c r="G50" s="406" t="s">
        <v>224</v>
      </c>
      <c r="H50" s="201"/>
      <c r="I50" s="434">
        <f>M78</f>
        <v>400000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17768868.44572847</v>
      </c>
      <c r="T50" s="252"/>
      <c r="U50" s="254">
        <f t="shared" si="4"/>
        <v>1086111.067790929</v>
      </c>
      <c r="V50" s="254">
        <f t="shared" si="5"/>
        <v>358921.45079289289</v>
      </c>
      <c r="W50" s="252">
        <f t="shared" si="6"/>
        <v>11028000</v>
      </c>
      <c r="X50" s="252">
        <f t="shared" si="2"/>
        <v>0</v>
      </c>
      <c r="Y50" s="252">
        <f t="shared" si="1"/>
        <v>8185900.9643122926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10"/>
        <v>-30000</v>
      </c>
      <c r="E51" s="433">
        <f t="shared" si="11"/>
        <v>750000</v>
      </c>
      <c r="F51" s="366"/>
      <c r="G51" s="406" t="s">
        <v>225</v>
      </c>
      <c r="H51" s="201"/>
      <c r="I51" s="434">
        <f>M79</f>
        <v>780000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17872520.178328551</v>
      </c>
      <c r="T51" s="252"/>
      <c r="U51" s="254">
        <f t="shared" si="4"/>
        <v>1105161.9933558535</v>
      </c>
      <c r="V51" s="254">
        <f t="shared" si="5"/>
        <v>367035.90313691366</v>
      </c>
      <c r="W51" s="252">
        <f t="shared" si="6"/>
        <v>11028000</v>
      </c>
      <c r="X51" s="252">
        <f t="shared" si="2"/>
        <v>0</v>
      </c>
      <c r="Y51" s="252">
        <f t="shared" si="1"/>
        <v>8316718.0748213194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10"/>
        <v>-4000</v>
      </c>
      <c r="E52" s="433">
        <f t="shared" si="11"/>
        <v>820000</v>
      </c>
      <c r="F52" s="366"/>
      <c r="G52" s="406" t="s">
        <v>240</v>
      </c>
      <c r="H52" s="201"/>
      <c r="I52" s="434">
        <f>M80</f>
        <v>824000</v>
      </c>
      <c r="J52" s="18"/>
      <c r="K52" s="205"/>
      <c r="L52" s="212" t="s">
        <v>77</v>
      </c>
      <c r="M52" s="223">
        <v>10000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17976776.546035469</v>
      </c>
      <c r="T52" s="252">
        <f>$V$4</f>
        <v>2000000</v>
      </c>
      <c r="U52" s="254">
        <f t="shared" si="4"/>
        <v>1124371.676633819</v>
      </c>
      <c r="V52" s="254">
        <f t="shared" si="5"/>
        <v>375150.35548093444</v>
      </c>
      <c r="W52" s="252">
        <f t="shared" si="6"/>
        <v>11028000</v>
      </c>
      <c r="X52" s="252">
        <f t="shared" si="2"/>
        <v>2000000</v>
      </c>
      <c r="Y52" s="252">
        <f t="shared" si="1"/>
        <v>10448298.578150224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10"/>
        <v>800000</v>
      </c>
      <c r="E53" s="433">
        <f t="shared" si="11"/>
        <v>1900000</v>
      </c>
      <c r="F53" s="366"/>
      <c r="G53" s="406"/>
      <c r="H53" s="201"/>
      <c r="I53" s="434">
        <f>M81</f>
        <v>1100000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20081641.075887341</v>
      </c>
      <c r="T53" s="252"/>
      <c r="U53" s="254">
        <f t="shared" si="4"/>
        <v>1143741.4406057675</v>
      </c>
      <c r="V53" s="254">
        <f t="shared" si="5"/>
        <v>383264.80782495521</v>
      </c>
      <c r="W53" s="252">
        <f t="shared" si="6"/>
        <v>13028000</v>
      </c>
      <c r="X53" s="252">
        <f t="shared" si="2"/>
        <v>0</v>
      </c>
      <c r="Y53" s="252">
        <f t="shared" si="1"/>
        <v>8580647.3243180625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20198783.982163351</v>
      </c>
      <c r="T54" s="252"/>
      <c r="U54" s="254">
        <f t="shared" si="4"/>
        <v>1163272.6192774822</v>
      </c>
      <c r="V54" s="254">
        <f t="shared" si="5"/>
        <v>391379.26016897598</v>
      </c>
      <c r="W54" s="252">
        <f t="shared" si="6"/>
        <v>13028000</v>
      </c>
      <c r="X54" s="252">
        <f t="shared" si="2"/>
        <v>0</v>
      </c>
      <c r="Y54" s="252">
        <f t="shared" si="1"/>
        <v>8725435.8616098091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>
        <v>100000</v>
      </c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20316610.222059306</v>
      </c>
      <c r="T55" s="252"/>
      <c r="U55" s="254">
        <f t="shared" si="4"/>
        <v>1182966.5577714611</v>
      </c>
      <c r="V55" s="254">
        <f t="shared" si="5"/>
        <v>399493.71251299675</v>
      </c>
      <c r="W55" s="252">
        <f t="shared" si="6"/>
        <v>13028000</v>
      </c>
      <c r="X55" s="252">
        <f t="shared" si="2"/>
        <v>0</v>
      </c>
      <c r="Y55" s="252">
        <f t="shared" si="1"/>
        <v>8871070.4923437648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9390000</v>
      </c>
      <c r="F56" s="366"/>
      <c r="G56" s="441"/>
      <c r="H56" s="420"/>
      <c r="I56" s="442"/>
      <c r="J56" s="18"/>
      <c r="K56" s="205"/>
      <c r="L56" s="212" t="s">
        <v>80</v>
      </c>
      <c r="M56" s="223">
        <v>100000</v>
      </c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20435123.781687986</v>
      </c>
      <c r="T56" s="252"/>
      <c r="U56" s="254">
        <f t="shared" si="4"/>
        <v>1202824.6124195566</v>
      </c>
      <c r="V56" s="254">
        <f t="shared" si="5"/>
        <v>407608.16485701752</v>
      </c>
      <c r="W56" s="252">
        <f t="shared" si="6"/>
        <v>13028000</v>
      </c>
      <c r="X56" s="252">
        <f t="shared" si="2"/>
        <v>0</v>
      </c>
      <c r="Y56" s="252">
        <f t="shared" si="1"/>
        <v>9017556.5589645617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8970000</v>
      </c>
      <c r="F57" s="416"/>
      <c r="G57" s="553" t="s">
        <v>59</v>
      </c>
      <c r="H57" s="554"/>
      <c r="I57" s="555">
        <f>SUM(I38:I56)</f>
        <v>5028000</v>
      </c>
      <c r="K57" s="205"/>
      <c r="L57" s="212" t="s">
        <v>81</v>
      </c>
      <c r="M57" s="223">
        <v>200000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20554328.6704145</v>
      </c>
      <c r="T57" s="252"/>
      <c r="U57" s="254">
        <f t="shared" si="4"/>
        <v>1222848.1508563862</v>
      </c>
      <c r="V57" s="254">
        <f t="shared" si="5"/>
        <v>415722.61720103829</v>
      </c>
      <c r="W57" s="252">
        <f t="shared" si="6"/>
        <v>13028000</v>
      </c>
      <c r="X57" s="252">
        <f t="shared" si="2"/>
        <v>0</v>
      </c>
      <c r="Y57" s="252">
        <f t="shared" si="1"/>
        <v>9164899.4384719245</v>
      </c>
      <c r="Z57" s="255"/>
      <c r="AA57" s="255"/>
      <c r="AB57" s="255"/>
      <c r="AC57" s="255"/>
    </row>
    <row r="58" spans="2:29" ht="45" x14ac:dyDescent="0.45">
      <c r="B58" s="489"/>
      <c r="C58" s="490"/>
      <c r="D58" s="490"/>
      <c r="E58" s="491"/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20674228.92099192</v>
      </c>
      <c r="T58" s="252"/>
      <c r="U58" s="254">
        <f t="shared" si="4"/>
        <v>1243038.5521135228</v>
      </c>
      <c r="V58" s="254">
        <f t="shared" si="5"/>
        <v>423837.06954505906</v>
      </c>
      <c r="W58" s="252">
        <f t="shared" si="6"/>
        <v>13028000</v>
      </c>
      <c r="X58" s="252">
        <f t="shared" si="2"/>
        <v>0</v>
      </c>
      <c r="Y58" s="252">
        <f t="shared" si="1"/>
        <v>9313104.5426505022</v>
      </c>
      <c r="Z58" s="255"/>
      <c r="AA58" s="255"/>
      <c r="AB58" s="255"/>
      <c r="AC58" s="255"/>
    </row>
    <row r="59" spans="2:29" s="17" customFormat="1" ht="45" x14ac:dyDescent="0.45">
      <c r="B59" s="489"/>
      <c r="C59" s="568">
        <f>D59/0.2</f>
        <v>14176000</v>
      </c>
      <c r="D59" s="568">
        <f>D76*0.8</f>
        <v>2835200</v>
      </c>
      <c r="E59" s="491"/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12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20794828.589697707</v>
      </c>
      <c r="T59" s="252"/>
      <c r="U59" s="254">
        <f t="shared" si="4"/>
        <v>1263397.2067144688</v>
      </c>
      <c r="V59" s="254">
        <f t="shared" si="5"/>
        <v>431951.52188907983</v>
      </c>
      <c r="W59" s="252">
        <f t="shared" si="6"/>
        <v>13028000</v>
      </c>
      <c r="X59" s="252">
        <f t="shared" si="2"/>
        <v>0</v>
      </c>
      <c r="Y59" s="252">
        <f t="shared" si="1"/>
        <v>9462177.3183012567</v>
      </c>
      <c r="Z59" s="255"/>
      <c r="AA59" s="256"/>
      <c r="AB59" s="256"/>
      <c r="AC59" s="256"/>
    </row>
    <row r="60" spans="2:29" s="17" customFormat="1" ht="46" thickBot="1" x14ac:dyDescent="0.5">
      <c r="B60" s="416"/>
      <c r="C60" s="416"/>
      <c r="D60" s="416"/>
      <c r="E60" s="416"/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12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20916131.756470945</v>
      </c>
      <c r="T60" s="252"/>
      <c r="U60" s="254">
        <f t="shared" si="4"/>
        <v>1283925.5167704227</v>
      </c>
      <c r="V60" s="254">
        <f t="shared" si="5"/>
        <v>440065.9742331006</v>
      </c>
      <c r="W60" s="252">
        <f t="shared" si="6"/>
        <v>13028000</v>
      </c>
      <c r="X60" s="252">
        <f t="shared" si="2"/>
        <v>0</v>
      </c>
      <c r="Y60" s="252">
        <f t="shared" si="1"/>
        <v>9612123.2474744692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12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21038142.525050361</v>
      </c>
      <c r="T61" s="252"/>
      <c r="U61" s="254">
        <f t="shared" si="4"/>
        <v>1304624.8960768429</v>
      </c>
      <c r="V61" s="254">
        <f t="shared" si="5"/>
        <v>448180.42657712137</v>
      </c>
      <c r="W61" s="252">
        <f t="shared" si="6"/>
        <v>13028000</v>
      </c>
      <c r="X61" s="252">
        <f t="shared" si="2"/>
        <v>0</v>
      </c>
      <c r="Y61" s="252">
        <f t="shared" si="1"/>
        <v>9762947.8477043249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3500000</v>
      </c>
      <c r="N62" s="579">
        <f>M62*0.8</f>
        <v>2800000</v>
      </c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21160865.023113154</v>
      </c>
      <c r="T62" s="252"/>
      <c r="U62" s="254">
        <f t="shared" si="4"/>
        <v>1325496.7702108165</v>
      </c>
      <c r="V62" s="254">
        <f t="shared" si="5"/>
        <v>456294.87892114214</v>
      </c>
      <c r="W62" s="252">
        <f t="shared" si="6"/>
        <v>13028000</v>
      </c>
      <c r="X62" s="252">
        <f t="shared" si="2"/>
        <v>0</v>
      </c>
      <c r="Y62" s="252">
        <f t="shared" si="1"/>
        <v>9914656.672245115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>
        <v>990000</v>
      </c>
      <c r="N63" s="579">
        <f>N62*5</f>
        <v>14000000</v>
      </c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21284303.402414646</v>
      </c>
      <c r="T63" s="252"/>
      <c r="U63" s="254">
        <f t="shared" si="4"/>
        <v>1346542.5766292401</v>
      </c>
      <c r="V63" s="254">
        <f t="shared" si="5"/>
        <v>464409.33126516291</v>
      </c>
      <c r="W63" s="252">
        <f t="shared" si="6"/>
        <v>13028000</v>
      </c>
      <c r="X63" s="252">
        <f t="shared" si="2"/>
        <v>0</v>
      </c>
      <c r="Y63" s="252">
        <f t="shared" si="1"/>
        <v>10067255.310309049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324</v>
      </c>
      <c r="M64" s="223">
        <v>600000</v>
      </c>
      <c r="N64" s="212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21408461.838928733</v>
      </c>
      <c r="T64" s="252">
        <f>$V$4</f>
        <v>2000000</v>
      </c>
      <c r="U64" s="254">
        <f t="shared" si="4"/>
        <v>1367763.764767817</v>
      </c>
      <c r="V64" s="254">
        <f t="shared" si="5"/>
        <v>472523.78360918368</v>
      </c>
      <c r="W64" s="252">
        <f t="shared" si="6"/>
        <v>13028000</v>
      </c>
      <c r="X64" s="252">
        <f t="shared" si="2"/>
        <v>2000000</v>
      </c>
      <c r="Y64" s="252">
        <f t="shared" si="1"/>
        <v>12220749.387305737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3942000</v>
      </c>
      <c r="E65" s="200"/>
      <c r="F65" s="201"/>
      <c r="G65" s="202" t="s">
        <v>158</v>
      </c>
      <c r="H65" s="203" t="s">
        <v>114</v>
      </c>
      <c r="I65" s="204">
        <f>I19-I32</f>
        <v>8114.4523440207558</v>
      </c>
      <c r="J65" s="18"/>
      <c r="K65" s="205"/>
      <c r="L65" s="212" t="s">
        <v>214</v>
      </c>
      <c r="M65" s="223">
        <v>750000</v>
      </c>
      <c r="N65" s="212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23533344.532989152</v>
      </c>
      <c r="T65" s="252"/>
      <c r="U65" s="254">
        <f t="shared" si="4"/>
        <v>1389161.7961408822</v>
      </c>
      <c r="V65" s="254">
        <f t="shared" si="5"/>
        <v>480638.23595320445</v>
      </c>
      <c r="W65" s="252">
        <f t="shared" si="6"/>
        <v>15028000</v>
      </c>
      <c r="X65" s="252">
        <f t="shared" si="2"/>
        <v>0</v>
      </c>
      <c r="Y65" s="252">
        <f t="shared" si="1"/>
        <v>10375144.565083239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820000</v>
      </c>
      <c r="N66" s="212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23670622.376098257</v>
      </c>
      <c r="T66" s="252"/>
      <c r="U66" s="254">
        <f t="shared" si="4"/>
        <v>1410738.1444420561</v>
      </c>
      <c r="V66" s="254">
        <f t="shared" si="5"/>
        <v>488752.68829722522</v>
      </c>
      <c r="W66" s="252">
        <f t="shared" si="6"/>
        <v>15028000</v>
      </c>
      <c r="X66" s="252">
        <f t="shared" si="2"/>
        <v>0</v>
      </c>
      <c r="Y66" s="252">
        <f t="shared" si="1"/>
        <v>10542113.208837539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4362000</v>
      </c>
      <c r="E67" s="459"/>
      <c r="F67" s="366"/>
      <c r="G67" s="461" t="s">
        <v>113</v>
      </c>
      <c r="H67" s="461" t="s">
        <v>115</v>
      </c>
      <c r="I67" s="462">
        <f>I65*12</f>
        <v>97373.42812824907</v>
      </c>
      <c r="K67" s="205"/>
      <c r="L67" s="214" t="s">
        <v>325</v>
      </c>
      <c r="M67" s="224">
        <v>1900000</v>
      </c>
      <c r="N67" s="21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1842000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6816.1399689774353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5016000</v>
      </c>
      <c r="E72" s="464"/>
      <c r="F72" s="201"/>
      <c r="G72" s="195" t="s">
        <v>1</v>
      </c>
      <c r="H72" s="195" t="s">
        <v>114</v>
      </c>
      <c r="I72" s="196">
        <f>H5</f>
        <v>20923.069333333333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8560000</v>
      </c>
      <c r="E74" s="464"/>
      <c r="F74" s="201"/>
      <c r="G74" s="195" t="s">
        <v>251</v>
      </c>
      <c r="H74" s="195" t="s">
        <v>114</v>
      </c>
      <c r="I74" s="196">
        <f>I32-H5</f>
        <v>15383.007655979251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/>
      <c r="C75" s="464"/>
      <c r="D75" s="467"/>
      <c r="E75" s="464"/>
      <c r="F75" s="201"/>
      <c r="G75" s="456"/>
      <c r="H75" s="195" t="s">
        <v>115</v>
      </c>
      <c r="I75" s="196">
        <f>I74*12</f>
        <v>184596.09187175101</v>
      </c>
      <c r="K75" s="205"/>
      <c r="L75" s="212" t="s">
        <v>85</v>
      </c>
      <c r="M75" s="223">
        <v>1400000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 t="s">
        <v>101</v>
      </c>
      <c r="C76" s="464"/>
      <c r="D76" s="469">
        <f>SUM(D48:D53)</f>
        <v>3544000</v>
      </c>
      <c r="E76" s="464"/>
      <c r="F76" s="366"/>
      <c r="G76" s="195" t="s">
        <v>125</v>
      </c>
      <c r="H76" s="195"/>
      <c r="I76" s="196">
        <f>I74*12/0.065</f>
        <v>2839939.8749500155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70"/>
      <c r="C77" s="464"/>
      <c r="D77" s="469"/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>
        <v>512000</v>
      </c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63" t="s">
        <v>29</v>
      </c>
      <c r="C78" s="464"/>
      <c r="D78" s="472">
        <f>D72/D74</f>
        <v>0.58598130841121499</v>
      </c>
      <c r="E78" s="464"/>
      <c r="F78" s="366"/>
      <c r="G78" s="366"/>
      <c r="H78" s="452"/>
      <c r="I78" s="473"/>
      <c r="K78" s="205"/>
      <c r="L78" s="212" t="s">
        <v>326</v>
      </c>
      <c r="M78" s="223">
        <v>400000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/>
      <c r="C79" s="464"/>
      <c r="D79" s="474"/>
      <c r="E79" s="464"/>
      <c r="F79" s="366"/>
      <c r="I79" s="473"/>
      <c r="K79" s="205"/>
      <c r="L79" s="212" t="s">
        <v>225</v>
      </c>
      <c r="M79" s="223">
        <v>780000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 t="s">
        <v>121</v>
      </c>
      <c r="C80" s="464"/>
      <c r="D80" s="469">
        <f>(80%-D78)*D74</f>
        <v>1832000</v>
      </c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824000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/>
      <c r="C81" s="464"/>
      <c r="D81" s="474"/>
      <c r="E81" s="464"/>
      <c r="F81" s="366"/>
      <c r="G81" s="380"/>
      <c r="H81" s="452"/>
      <c r="I81" s="407"/>
      <c r="K81" s="205"/>
      <c r="L81" s="212" t="s">
        <v>323</v>
      </c>
      <c r="M81" s="223">
        <v>1100000</v>
      </c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 t="s">
        <v>283</v>
      </c>
      <c r="C82" s="464"/>
      <c r="D82" s="562">
        <f>D80/0.2</f>
        <v>9160000</v>
      </c>
      <c r="E82" s="464"/>
      <c r="F82" s="366"/>
      <c r="G82" s="475" t="s">
        <v>162</v>
      </c>
      <c r="H82" s="476"/>
      <c r="I82" s="477">
        <f>SUM(E38:E39)</f>
        <v>10000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51"/>
      <c r="C83" s="366"/>
      <c r="D83" s="366"/>
      <c r="E83" s="452"/>
      <c r="F83" s="366"/>
      <c r="G83" s="475" t="s">
        <v>163</v>
      </c>
      <c r="H83" s="475"/>
      <c r="I83" s="477">
        <f>SUM(E41:E43)</f>
        <v>400000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 t="s">
        <v>111</v>
      </c>
      <c r="C84" s="366"/>
      <c r="D84" s="366"/>
      <c r="E84" s="452"/>
      <c r="F84" s="366"/>
      <c r="G84" s="464" t="s">
        <v>154</v>
      </c>
      <c r="H84" s="464"/>
      <c r="I84" s="478">
        <f>SUM(I82:I83)</f>
        <v>410000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06"/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79" t="s">
        <v>128</v>
      </c>
      <c r="C86" s="480"/>
      <c r="D86" s="481">
        <f>D89-D72</f>
        <v>-3910134.0815733252</v>
      </c>
      <c r="E86" s="480"/>
      <c r="F86" s="366"/>
      <c r="G86" s="380" t="s">
        <v>127</v>
      </c>
      <c r="H86" s="452"/>
      <c r="I86" s="407"/>
      <c r="L86" s="580" t="s">
        <v>310</v>
      </c>
      <c r="M86" s="120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51" t="s">
        <v>112</v>
      </c>
      <c r="C87" s="366"/>
      <c r="D87" s="366"/>
      <c r="E87" s="452"/>
      <c r="F87" s="366"/>
      <c r="G87" s="201"/>
      <c r="H87" s="452"/>
      <c r="I87" s="407"/>
      <c r="L87" s="567"/>
      <c r="M87" s="570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/>
      <c r="C88" s="366"/>
      <c r="D88" s="366"/>
      <c r="E88" s="380"/>
      <c r="F88" s="366"/>
      <c r="G88" s="482" t="s">
        <v>165</v>
      </c>
      <c r="H88" s="482"/>
      <c r="I88" s="483">
        <f>SUM(E38:E43)/(I32-H5)</f>
        <v>26.652785278998177</v>
      </c>
      <c r="L88" s="567" t="s">
        <v>284</v>
      </c>
      <c r="M88" s="570">
        <v>0</v>
      </c>
      <c r="N88" s="29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79" t="s">
        <v>117</v>
      </c>
      <c r="C89" s="480"/>
      <c r="D89" s="481">
        <f>PV(8%/12,30*12,H24,0)*-1</f>
        <v>1105865.9184266748</v>
      </c>
      <c r="E89" s="480"/>
      <c r="F89" s="366"/>
      <c r="G89" s="482" t="s">
        <v>166</v>
      </c>
      <c r="H89" s="482"/>
      <c r="I89" s="483">
        <f>SUM(E38:E43)/(I32-H5)/12</f>
        <v>2.2210654399165146</v>
      </c>
      <c r="L89" s="567" t="s">
        <v>296</v>
      </c>
      <c r="M89" s="570">
        <v>1800000</v>
      </c>
    </row>
    <row r="90" spans="2:26" ht="45" x14ac:dyDescent="0.45">
      <c r="B90" s="451" t="s">
        <v>153</v>
      </c>
      <c r="C90" s="366"/>
      <c r="D90" s="452"/>
      <c r="E90" s="380"/>
      <c r="F90" s="366"/>
      <c r="G90" s="482" t="s">
        <v>161</v>
      </c>
      <c r="H90" s="482"/>
      <c r="I90" s="483">
        <f>H24/(I32-H5)</f>
        <v>0.52749452678499664</v>
      </c>
      <c r="L90" s="567"/>
      <c r="M90" s="291"/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567" t="s">
        <v>294</v>
      </c>
      <c r="M91" s="570">
        <v>200000</v>
      </c>
    </row>
    <row r="92" spans="2:26" ht="35" customHeight="1" x14ac:dyDescent="0.35">
      <c r="D92" s="99"/>
      <c r="E92" s="22"/>
      <c r="L92" s="567" t="s">
        <v>295</v>
      </c>
      <c r="M92" s="570">
        <v>300000</v>
      </c>
    </row>
    <row r="93" spans="2:26" ht="35" customHeight="1" x14ac:dyDescent="0.35">
      <c r="D93" s="99"/>
      <c r="E93" s="98"/>
      <c r="F93" s="99"/>
      <c r="G93" s="99"/>
      <c r="H93" s="99"/>
      <c r="L93" s="567"/>
      <c r="M93" s="570"/>
    </row>
    <row r="94" spans="2:26" ht="35" customHeight="1" x14ac:dyDescent="0.35">
      <c r="D94" s="99"/>
      <c r="E94" s="98"/>
      <c r="F94" s="99"/>
      <c r="G94" s="99"/>
      <c r="H94" s="99"/>
      <c r="L94" s="567" t="s">
        <v>301</v>
      </c>
      <c r="M94" s="570">
        <f>0.05*3500000</f>
        <v>175000</v>
      </c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567"/>
      <c r="M95" s="570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  <c r="L96" s="567" t="s">
        <v>304</v>
      </c>
      <c r="M96" s="570"/>
    </row>
    <row r="97" spans="2:15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L97" s="567"/>
      <c r="M97" s="570"/>
    </row>
    <row r="98" spans="2:15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L98" s="567" t="s">
        <v>300</v>
      </c>
      <c r="M98" s="570">
        <v>1200000</v>
      </c>
      <c r="N98" s="570"/>
      <c r="O98" s="570"/>
    </row>
    <row r="99" spans="2:15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  <c r="L99" s="567"/>
      <c r="M99" s="570"/>
      <c r="N99" s="570"/>
      <c r="O99" s="570"/>
    </row>
    <row r="100" spans="2:15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10000</v>
      </c>
      <c r="L100" s="567"/>
      <c r="M100" s="291"/>
    </row>
    <row r="101" spans="2:15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400000</v>
      </c>
      <c r="L101" s="567"/>
    </row>
    <row r="102" spans="2:15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1444000</v>
      </c>
      <c r="I102" s="270" t="s">
        <v>212</v>
      </c>
      <c r="L102" s="567" t="s">
        <v>302</v>
      </c>
      <c r="M102" s="570">
        <v>3680000</v>
      </c>
    </row>
    <row r="103" spans="2:15" ht="35" x14ac:dyDescent="0.35">
      <c r="B103" s="270"/>
      <c r="C103" s="270"/>
      <c r="D103" s="273"/>
      <c r="E103" s="270"/>
      <c r="F103" s="271"/>
      <c r="G103" s="270"/>
      <c r="H103" s="273"/>
      <c r="L103" s="567"/>
      <c r="M103" s="291"/>
    </row>
    <row r="104" spans="2:15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1854000</v>
      </c>
      <c r="I104" s="270">
        <f>H104*0.075</f>
        <v>139050</v>
      </c>
      <c r="L104" s="567" t="s">
        <v>299</v>
      </c>
      <c r="M104" s="570">
        <f>SUM(M88:M100)-M102</f>
        <v>-5000</v>
      </c>
    </row>
    <row r="105" spans="2:15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  <c r="L105" s="567" t="s">
        <v>298</v>
      </c>
      <c r="M105" s="570"/>
    </row>
    <row r="106" spans="2:15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  <c r="L106" s="567"/>
      <c r="M106" s="570"/>
      <c r="N106" s="570"/>
    </row>
    <row r="107" spans="2:15" ht="36" thickBot="1" x14ac:dyDescent="0.4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  <c r="L107" s="580" t="s">
        <v>311</v>
      </c>
      <c r="M107" s="570"/>
      <c r="N107" s="570"/>
    </row>
    <row r="108" spans="2:15" ht="35" x14ac:dyDescent="0.35">
      <c r="B108" s="270"/>
      <c r="C108" s="270"/>
      <c r="D108" s="273"/>
      <c r="E108" s="270"/>
      <c r="F108" s="271"/>
      <c r="G108" s="271"/>
      <c r="H108" s="271"/>
      <c r="L108" s="571" t="s">
        <v>320</v>
      </c>
      <c r="M108" s="572">
        <v>1400000</v>
      </c>
      <c r="N108" s="572">
        <f>0.06*M108/12</f>
        <v>7000</v>
      </c>
      <c r="O108" s="573"/>
    </row>
    <row r="109" spans="2:15" ht="35" x14ac:dyDescent="0.35">
      <c r="B109" s="280" t="s">
        <v>198</v>
      </c>
      <c r="C109" s="281"/>
      <c r="D109" s="282"/>
      <c r="E109" s="289"/>
      <c r="F109" s="271"/>
      <c r="G109" s="271"/>
      <c r="H109" s="271"/>
      <c r="L109" s="574" t="s">
        <v>321</v>
      </c>
      <c r="M109" s="575">
        <v>1100000</v>
      </c>
      <c r="N109" s="575">
        <f>0.0574*M109/12</f>
        <v>5261.666666666667</v>
      </c>
      <c r="O109" s="23"/>
    </row>
    <row r="110" spans="2:15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  <c r="L110" s="574"/>
      <c r="M110" s="291"/>
      <c r="N110" s="291"/>
      <c r="O110" s="23"/>
    </row>
    <row r="111" spans="2:15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  <c r="L111" s="574" t="s">
        <v>294</v>
      </c>
      <c r="M111" s="575"/>
      <c r="N111" s="575"/>
      <c r="O111" s="23"/>
    </row>
    <row r="112" spans="2:15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  <c r="L112" s="574" t="s">
        <v>295</v>
      </c>
      <c r="M112" s="575"/>
      <c r="N112" s="575"/>
      <c r="O112" s="23"/>
    </row>
    <row r="113" spans="2:15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  <c r="L113" s="574"/>
      <c r="M113" s="575"/>
      <c r="N113" s="575"/>
      <c r="O113" s="23"/>
    </row>
    <row r="114" spans="2:15" ht="35" x14ac:dyDescent="0.35">
      <c r="B114" s="270"/>
      <c r="C114" s="270"/>
      <c r="D114" s="273"/>
      <c r="E114" s="270"/>
      <c r="F114" s="271"/>
      <c r="G114" s="271"/>
      <c r="H114" s="271"/>
      <c r="L114" s="574" t="s">
        <v>301</v>
      </c>
      <c r="M114" s="575">
        <f>0.05*3500000</f>
        <v>175000</v>
      </c>
      <c r="N114" s="575"/>
      <c r="O114" s="23"/>
    </row>
    <row r="115" spans="2:15" ht="35" x14ac:dyDescent="0.35">
      <c r="B115" s="270"/>
      <c r="C115" s="270"/>
      <c r="D115" s="273"/>
      <c r="E115" s="270"/>
      <c r="F115" s="271"/>
      <c r="G115" s="271"/>
      <c r="H115" s="271"/>
      <c r="L115" s="574" t="s">
        <v>308</v>
      </c>
      <c r="M115" s="575"/>
      <c r="N115" s="575"/>
      <c r="O115" s="23"/>
    </row>
    <row r="116" spans="2:15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  <c r="L116" s="574" t="s">
        <v>322</v>
      </c>
      <c r="M116" s="575">
        <v>200000</v>
      </c>
      <c r="N116" s="575"/>
      <c r="O116" s="23"/>
    </row>
    <row r="117" spans="2:15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  <c r="L117" s="574" t="s">
        <v>309</v>
      </c>
      <c r="M117" s="575">
        <v>800000</v>
      </c>
      <c r="N117" s="575"/>
      <c r="O117" s="23"/>
    </row>
    <row r="118" spans="2:15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  <c r="L118" s="574" t="s">
        <v>300</v>
      </c>
      <c r="M118" s="575"/>
      <c r="N118" s="575"/>
      <c r="O118" s="576"/>
    </row>
    <row r="119" spans="2:15" ht="35" x14ac:dyDescent="0.35">
      <c r="B119" s="270"/>
      <c r="C119" s="270"/>
      <c r="D119" s="273"/>
      <c r="E119" s="270"/>
      <c r="F119" s="271"/>
      <c r="G119" s="271"/>
      <c r="H119" s="271"/>
      <c r="L119" s="574"/>
      <c r="M119" s="575"/>
      <c r="N119" s="575"/>
      <c r="O119" s="576"/>
    </row>
    <row r="120" spans="2:15" ht="35" x14ac:dyDescent="0.35">
      <c r="B120" s="283" t="s">
        <v>199</v>
      </c>
      <c r="C120" s="284"/>
      <c r="D120" s="285"/>
      <c r="E120" s="289"/>
      <c r="F120" s="271"/>
      <c r="G120" s="271"/>
      <c r="H120" s="271"/>
      <c r="L120" s="581" t="s">
        <v>312</v>
      </c>
      <c r="M120" s="291"/>
      <c r="N120" s="575">
        <f>SUM(M108:M120)</f>
        <v>3675000</v>
      </c>
      <c r="O120" s="23"/>
    </row>
    <row r="121" spans="2:15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  <c r="L121" s="574"/>
      <c r="O121" s="23"/>
    </row>
    <row r="122" spans="2:15" ht="35" x14ac:dyDescent="0.35">
      <c r="B122" s="270"/>
      <c r="C122" s="270"/>
      <c r="D122" s="273"/>
      <c r="E122" s="270"/>
      <c r="F122" s="271"/>
      <c r="G122" s="271"/>
      <c r="H122" s="271"/>
      <c r="L122" s="574" t="s">
        <v>302</v>
      </c>
      <c r="M122" s="575">
        <v>3680000</v>
      </c>
      <c r="N122" s="575"/>
      <c r="O122" s="23"/>
    </row>
    <row r="123" spans="2:15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  <c r="L123" s="574"/>
      <c r="M123" s="291"/>
      <c r="N123" s="291"/>
      <c r="O123" s="23"/>
    </row>
    <row r="124" spans="2:15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  <c r="L124" s="574" t="s">
        <v>299</v>
      </c>
      <c r="M124" s="575">
        <f>SUM(M108:M120)-M122</f>
        <v>-5000</v>
      </c>
      <c r="N124" s="575"/>
      <c r="O124" s="23"/>
    </row>
    <row r="125" spans="2:15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  <c r="L125" s="574" t="s">
        <v>298</v>
      </c>
      <c r="M125" s="575"/>
      <c r="O125" s="23"/>
    </row>
    <row r="126" spans="2:15" ht="35" x14ac:dyDescent="0.35">
      <c r="B126" s="270"/>
      <c r="C126" s="270"/>
      <c r="D126" s="271"/>
      <c r="E126" s="270"/>
      <c r="F126" s="271"/>
      <c r="G126" s="271"/>
      <c r="H126" s="271"/>
      <c r="L126" s="577"/>
      <c r="O126" s="23"/>
    </row>
    <row r="127" spans="2:15" ht="35" x14ac:dyDescent="0.35">
      <c r="B127" s="286" t="s">
        <v>200</v>
      </c>
      <c r="C127" s="287"/>
      <c r="D127" s="288"/>
      <c r="E127" s="270"/>
      <c r="F127" s="271"/>
      <c r="G127" s="271"/>
      <c r="H127" s="271"/>
      <c r="L127" s="577"/>
      <c r="O127" s="23"/>
    </row>
    <row r="128" spans="2:15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  <c r="L128" s="577"/>
      <c r="O128" s="23"/>
    </row>
    <row r="129" spans="2:16" ht="36" thickBot="1" x14ac:dyDescent="0.4">
      <c r="B129" s="270" t="s">
        <v>203</v>
      </c>
      <c r="C129" s="270"/>
      <c r="D129" s="273">
        <v>8000</v>
      </c>
      <c r="E129" s="270"/>
      <c r="F129" s="271"/>
      <c r="G129" s="271"/>
      <c r="H129" s="271"/>
      <c r="L129" s="578"/>
      <c r="M129" s="25"/>
      <c r="N129" s="25"/>
      <c r="O129" s="26"/>
    </row>
    <row r="130" spans="2:16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16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16" ht="35" x14ac:dyDescent="0.35">
      <c r="B132" s="270" t="s">
        <v>208</v>
      </c>
      <c r="D132" s="273">
        <v>27000</v>
      </c>
      <c r="E132" s="270"/>
      <c r="F132" s="271"/>
      <c r="G132" s="271"/>
      <c r="H132" s="271"/>
      <c r="K132" s="567"/>
      <c r="L132" s="567"/>
      <c r="M132" s="567"/>
      <c r="N132" s="567"/>
      <c r="O132" s="567"/>
      <c r="P132" s="567"/>
    </row>
    <row r="133" spans="2:16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  <c r="K133" s="567"/>
      <c r="L133" s="567" t="s">
        <v>305</v>
      </c>
      <c r="M133" s="567"/>
      <c r="N133" s="567"/>
      <c r="O133" s="567" t="s">
        <v>303</v>
      </c>
      <c r="P133" s="567">
        <f>SUM(M133:M135)</f>
        <v>1000000</v>
      </c>
    </row>
    <row r="134" spans="2:16" ht="35" x14ac:dyDescent="0.35">
      <c r="B134" s="270"/>
      <c r="C134" s="270"/>
      <c r="D134" s="273"/>
      <c r="E134" s="270"/>
      <c r="F134" s="271"/>
      <c r="G134" s="271"/>
      <c r="H134" s="271"/>
      <c r="K134" s="567"/>
      <c r="L134" s="567" t="s">
        <v>306</v>
      </c>
      <c r="M134" s="567"/>
      <c r="O134" s="567"/>
      <c r="P134" s="567"/>
    </row>
    <row r="135" spans="2:16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  <c r="K135" s="567"/>
      <c r="L135" s="567" t="s">
        <v>307</v>
      </c>
      <c r="M135" s="567">
        <v>1000000</v>
      </c>
      <c r="N135" s="567"/>
      <c r="O135" s="567"/>
      <c r="P135" s="567"/>
    </row>
    <row r="136" spans="2:16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  <c r="K136" s="567"/>
      <c r="L136" s="567"/>
      <c r="M136" s="567"/>
      <c r="N136" s="567"/>
      <c r="O136" s="567"/>
      <c r="P136" s="567"/>
    </row>
    <row r="137" spans="2:16" ht="35" x14ac:dyDescent="0.35">
      <c r="B137" s="272" t="s">
        <v>206</v>
      </c>
      <c r="C137" s="272"/>
      <c r="D137" s="274">
        <f>D136/0.05</f>
        <v>13521104.6</v>
      </c>
      <c r="K137" s="567"/>
      <c r="L137" s="567"/>
      <c r="M137" s="567"/>
      <c r="N137" s="567"/>
      <c r="O137" s="567"/>
      <c r="P137" s="567"/>
    </row>
    <row r="138" spans="2:16" ht="35" x14ac:dyDescent="0.35">
      <c r="K138" s="567"/>
      <c r="L138" s="567"/>
      <c r="M138" s="567"/>
      <c r="N138" s="567"/>
      <c r="O138" s="567"/>
      <c r="P138" s="567"/>
    </row>
    <row r="139" spans="2:16" ht="35" x14ac:dyDescent="0.35">
      <c r="K139" s="567"/>
      <c r="L139" s="567" t="s">
        <v>313</v>
      </c>
      <c r="M139" s="567"/>
      <c r="N139" s="567"/>
      <c r="O139" s="567"/>
      <c r="P139" s="567"/>
    </row>
    <row r="140" spans="2:16" ht="35" x14ac:dyDescent="0.35">
      <c r="K140" s="567"/>
      <c r="L140" s="567" t="s">
        <v>314</v>
      </c>
      <c r="M140" s="567"/>
      <c r="N140" s="567"/>
      <c r="O140" s="567"/>
      <c r="P140" s="567"/>
    </row>
    <row r="141" spans="2:16" ht="35" x14ac:dyDescent="0.35">
      <c r="K141" s="567"/>
      <c r="L141" s="567" t="s">
        <v>315</v>
      </c>
      <c r="M141" s="567"/>
      <c r="N141" s="567"/>
      <c r="O141" s="567"/>
      <c r="P141" s="567"/>
    </row>
    <row r="142" spans="2:16" ht="35" x14ac:dyDescent="0.35">
      <c r="K142" s="567"/>
      <c r="L142" s="567"/>
      <c r="M142" s="567"/>
      <c r="N142" s="567"/>
      <c r="O142" s="567"/>
      <c r="P142" s="567"/>
    </row>
    <row r="143" spans="2:16" ht="35" x14ac:dyDescent="0.35">
      <c r="K143" s="567"/>
      <c r="L143" s="567"/>
      <c r="M143" s="567"/>
      <c r="N143" s="567"/>
      <c r="O143" s="567"/>
      <c r="P143" s="567"/>
    </row>
    <row r="144" spans="2:16" ht="35" x14ac:dyDescent="0.35">
      <c r="K144" s="567"/>
      <c r="L144" s="567"/>
      <c r="M144" s="567"/>
      <c r="N144" s="567"/>
      <c r="O144" s="567"/>
      <c r="P144" s="567"/>
    </row>
    <row r="145" spans="11:16" ht="35" x14ac:dyDescent="0.35">
      <c r="K145" s="567"/>
      <c r="L145" s="567"/>
      <c r="M145" s="567"/>
      <c r="N145" s="567"/>
      <c r="O145" s="567"/>
      <c r="P145" s="567"/>
    </row>
    <row r="146" spans="11:16" ht="35" x14ac:dyDescent="0.35">
      <c r="K146" s="567"/>
      <c r="L146" s="567"/>
      <c r="M146" s="567"/>
      <c r="N146" s="567"/>
      <c r="O146" s="567"/>
      <c r="P146" s="567"/>
    </row>
    <row r="147" spans="11:16" ht="35" x14ac:dyDescent="0.35">
      <c r="K147" s="567"/>
      <c r="L147" s="567"/>
      <c r="M147" s="567"/>
      <c r="N147" s="567"/>
      <c r="O147" s="567"/>
      <c r="P147" s="567"/>
    </row>
    <row r="148" spans="11:16" ht="35" x14ac:dyDescent="0.35">
      <c r="K148" s="567"/>
      <c r="L148" s="567"/>
      <c r="M148" s="567"/>
      <c r="N148" s="567"/>
      <c r="O148" s="567"/>
      <c r="P148" s="567"/>
    </row>
    <row r="149" spans="11:16" ht="35" x14ac:dyDescent="0.35">
      <c r="K149" s="567"/>
      <c r="L149" s="567"/>
      <c r="M149" s="567"/>
      <c r="N149" s="567"/>
      <c r="O149" s="567"/>
      <c r="P149" s="567"/>
    </row>
    <row r="150" spans="11:16" ht="35" x14ac:dyDescent="0.35">
      <c r="K150" s="567"/>
      <c r="L150" s="567"/>
      <c r="M150" s="567"/>
      <c r="N150" s="567"/>
      <c r="O150" s="567"/>
      <c r="P150" s="567"/>
    </row>
    <row r="151" spans="11:16" ht="35" x14ac:dyDescent="0.35">
      <c r="K151" s="567"/>
      <c r="L151" s="567"/>
      <c r="M151" s="567"/>
      <c r="N151" s="567"/>
      <c r="O151" s="567"/>
      <c r="P151" s="567"/>
    </row>
    <row r="152" spans="11:16" ht="35" x14ac:dyDescent="0.35">
      <c r="K152" s="567"/>
      <c r="L152" s="567"/>
      <c r="M152" s="567"/>
      <c r="N152" s="567"/>
      <c r="O152" s="567"/>
      <c r="P152" s="567"/>
    </row>
    <row r="153" spans="11:16" ht="35" x14ac:dyDescent="0.35">
      <c r="K153" s="567"/>
      <c r="L153" s="567"/>
      <c r="M153" s="567"/>
      <c r="N153" s="567"/>
      <c r="O153" s="567"/>
      <c r="P153" s="567"/>
    </row>
    <row r="154" spans="11:16" ht="35" x14ac:dyDescent="0.35">
      <c r="K154" s="567"/>
      <c r="L154" s="567"/>
      <c r="M154" s="567"/>
      <c r="N154" s="567"/>
      <c r="O154" s="567"/>
      <c r="P154" s="567"/>
    </row>
    <row r="155" spans="11:16" ht="35" x14ac:dyDescent="0.35">
      <c r="K155" s="567"/>
      <c r="L155" s="567"/>
      <c r="M155" s="567"/>
      <c r="N155" s="567"/>
      <c r="O155" s="567"/>
      <c r="P155" s="567"/>
    </row>
    <row r="156" spans="11:16" ht="35" x14ac:dyDescent="0.35">
      <c r="K156" s="567"/>
      <c r="L156" s="567"/>
      <c r="M156" s="567"/>
      <c r="N156" s="567"/>
      <c r="O156" s="567"/>
      <c r="P156" s="567"/>
    </row>
    <row r="157" spans="11:16" ht="35" x14ac:dyDescent="0.35">
      <c r="K157" s="567"/>
      <c r="L157" s="567"/>
      <c r="M157" s="567"/>
      <c r="N157" s="567"/>
      <c r="O157" s="567"/>
      <c r="P157" s="567"/>
    </row>
    <row r="158" spans="11:16" ht="35" x14ac:dyDescent="0.35">
      <c r="K158" s="567"/>
      <c r="L158" s="567"/>
      <c r="M158" s="567"/>
      <c r="N158" s="567"/>
      <c r="O158" s="567"/>
      <c r="P158" s="567"/>
    </row>
    <row r="159" spans="11:16" ht="35" x14ac:dyDescent="0.35">
      <c r="K159" s="567"/>
      <c r="L159" s="567"/>
      <c r="M159" s="567"/>
      <c r="N159" s="567"/>
      <c r="O159" s="567"/>
      <c r="P159" s="567"/>
    </row>
    <row r="160" spans="11:16" ht="35" x14ac:dyDescent="0.35">
      <c r="K160" s="567"/>
      <c r="L160" s="567"/>
      <c r="M160" s="567"/>
      <c r="N160" s="567"/>
      <c r="O160" s="567"/>
      <c r="P160" s="567"/>
    </row>
    <row r="161" spans="11:16" ht="35" x14ac:dyDescent="0.35">
      <c r="K161" s="567"/>
      <c r="L161" s="567"/>
      <c r="M161" s="567"/>
      <c r="N161" s="567"/>
      <c r="O161" s="567"/>
      <c r="P161" s="567"/>
    </row>
    <row r="162" spans="11:16" ht="35" x14ac:dyDescent="0.35">
      <c r="K162" s="567"/>
      <c r="L162" s="567"/>
      <c r="M162" s="567"/>
      <c r="N162" s="567"/>
      <c r="O162" s="567"/>
      <c r="P162" s="567"/>
    </row>
    <row r="163" spans="11:16" ht="35" x14ac:dyDescent="0.35">
      <c r="K163" s="567"/>
      <c r="L163" s="567"/>
      <c r="M163" s="567"/>
      <c r="N163" s="567"/>
      <c r="O163" s="567"/>
      <c r="P163" s="567"/>
    </row>
    <row r="164" spans="11:16" ht="35" x14ac:dyDescent="0.35">
      <c r="K164" s="567"/>
      <c r="L164" s="567"/>
      <c r="M164" s="567"/>
      <c r="N164" s="567"/>
      <c r="O164" s="567"/>
      <c r="P164" s="567"/>
    </row>
    <row r="165" spans="11:16" ht="35" x14ac:dyDescent="0.35">
      <c r="K165" s="567"/>
      <c r="L165" s="567"/>
      <c r="M165" s="567"/>
      <c r="N165" s="567"/>
      <c r="O165" s="567"/>
      <c r="P165" s="567"/>
    </row>
    <row r="166" spans="11:16" ht="35" x14ac:dyDescent="0.35">
      <c r="K166" s="567"/>
      <c r="L166" s="567"/>
      <c r="M166" s="567"/>
      <c r="N166" s="567"/>
      <c r="O166" s="567"/>
      <c r="P166" s="567"/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3C82-2E2E-C441-BA5B-64B9BA718BC5}">
  <dimension ref="B1:AI137"/>
  <sheetViews>
    <sheetView showGridLines="0" topLeftCell="A28" zoomScale="50" zoomScaleNormal="50" workbookViewId="0">
      <selection activeCell="L86" sqref="L86:M93"/>
    </sheetView>
  </sheetViews>
  <sheetFormatPr baseColWidth="10" defaultColWidth="11" defaultRowHeight="16" x14ac:dyDescent="0.2"/>
  <cols>
    <col min="1" max="1" width="11" style="18"/>
    <col min="2" max="2" width="154.33203125" style="18" customWidth="1"/>
    <col min="3" max="3" width="41.83203125" style="18" bestFit="1" customWidth="1"/>
    <col min="4" max="4" width="52.33203125" style="18" bestFit="1" customWidth="1"/>
    <col min="5" max="5" width="52.33203125" style="17" customWidth="1"/>
    <col min="6" max="6" width="8.33203125" style="18" customWidth="1"/>
    <col min="7" max="7" width="219.83203125" style="18" bestFit="1" customWidth="1"/>
    <col min="8" max="8" width="46.1640625" style="18" customWidth="1"/>
    <col min="9" max="9" width="52.33203125" style="17" bestFit="1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7" t="s">
        <v>39</v>
      </c>
      <c r="C2" s="618"/>
      <c r="D2" s="618"/>
      <c r="E2" s="618"/>
      <c r="F2" s="618"/>
      <c r="G2" s="618"/>
      <c r="H2" s="618"/>
      <c r="I2" s="619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46" thickBot="1" x14ac:dyDescent="0.5">
      <c r="B3" s="365"/>
      <c r="C3" s="366"/>
      <c r="D3" s="366"/>
      <c r="E3" s="201"/>
      <c r="F3" s="366"/>
      <c r="G3" s="366"/>
      <c r="H3" s="366"/>
      <c r="I3" s="201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46" thickBot="1" x14ac:dyDescent="0.5">
      <c r="B4" s="367" t="s">
        <v>0</v>
      </c>
      <c r="C4" s="368" t="s">
        <v>55</v>
      </c>
      <c r="D4" s="368" t="s">
        <v>37</v>
      </c>
      <c r="E4" s="369" t="s">
        <v>250</v>
      </c>
      <c r="F4" s="370"/>
      <c r="G4" s="371" t="s">
        <v>64</v>
      </c>
      <c r="H4" s="368" t="s">
        <v>37</v>
      </c>
      <c r="I4" s="368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46" thickBot="1" x14ac:dyDescent="0.5">
      <c r="B5" s="365"/>
      <c r="C5" s="372"/>
      <c r="D5" s="373"/>
      <c r="E5" s="374"/>
      <c r="F5" s="372"/>
      <c r="G5" s="375" t="s">
        <v>155</v>
      </c>
      <c r="H5" s="376">
        <f>SUM(D8:D18)</f>
        <v>10863</v>
      </c>
      <c r="I5" s="377">
        <f>H5*12</f>
        <v>130356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45" x14ac:dyDescent="0.45">
      <c r="B6" s="365" t="s">
        <v>40</v>
      </c>
      <c r="C6" s="370">
        <f>D6*12</f>
        <v>276000</v>
      </c>
      <c r="D6" s="378">
        <f>M6</f>
        <v>23000</v>
      </c>
      <c r="E6" s="379"/>
      <c r="F6" s="380"/>
      <c r="G6" s="365"/>
      <c r="H6" s="381"/>
      <c r="I6" s="382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45" x14ac:dyDescent="0.45">
      <c r="B7" s="365" t="s">
        <v>41</v>
      </c>
      <c r="C7" s="381">
        <f>D7*12</f>
        <v>0</v>
      </c>
      <c r="D7" s="378">
        <f>M7</f>
        <v>0</v>
      </c>
      <c r="E7" s="383"/>
      <c r="F7" s="370"/>
      <c r="G7" s="365"/>
      <c r="H7" s="201"/>
      <c r="I7" s="38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SUM(E48:E54)</f>
        <v>6535000</v>
      </c>
      <c r="T7" s="252"/>
      <c r="U7" s="252">
        <f>SUM(E41:E43)</f>
        <v>0</v>
      </c>
      <c r="V7" s="252">
        <f>$E$38</f>
        <v>6000</v>
      </c>
      <c r="W7" s="252">
        <f>$I$57</f>
        <v>2783000</v>
      </c>
      <c r="X7" s="252">
        <f>T7</f>
        <v>0</v>
      </c>
      <c r="Y7" s="252">
        <f t="shared" ref="Y7:Y66" si="1">SUM(S7:V7)-W7</f>
        <v>3758000</v>
      </c>
      <c r="Z7" s="255"/>
      <c r="AA7" s="255"/>
      <c r="AB7" s="255"/>
      <c r="AC7" s="255"/>
    </row>
    <row r="8" spans="2:35" ht="45" x14ac:dyDescent="0.45">
      <c r="B8" s="365" t="s">
        <v>42</v>
      </c>
      <c r="C8" s="381"/>
      <c r="D8" s="378">
        <f>M8</f>
        <v>10</v>
      </c>
      <c r="E8" s="385">
        <f>D8</f>
        <v>10</v>
      </c>
      <c r="F8" s="370"/>
      <c r="G8" s="365"/>
      <c r="H8" s="201"/>
      <c r="I8" s="38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6573120.833333333</v>
      </c>
      <c r="T8" s="252"/>
      <c r="U8" s="254">
        <f>($V$2/12+1)*U7+$V$3</f>
        <v>10000</v>
      </c>
      <c r="V8" s="254">
        <f>V7+$I$65</f>
        <v>16172.609166666665</v>
      </c>
      <c r="W8" s="252">
        <f>W7+X7</f>
        <v>2783000</v>
      </c>
      <c r="X8" s="252">
        <f t="shared" ref="X8:X66" si="2">T8</f>
        <v>0</v>
      </c>
      <c r="Y8" s="252">
        <f t="shared" si="1"/>
        <v>3816293.4424999999</v>
      </c>
      <c r="Z8" s="255"/>
      <c r="AA8" s="255"/>
      <c r="AB8" s="255"/>
      <c r="AC8" s="255"/>
    </row>
    <row r="9" spans="2:35" ht="45" x14ac:dyDescent="0.45">
      <c r="B9" s="365" t="s">
        <v>43</v>
      </c>
      <c r="C9" s="381">
        <f>D9*12</f>
        <v>9960</v>
      </c>
      <c r="D9" s="378">
        <f>M9</f>
        <v>830</v>
      </c>
      <c r="E9" s="385">
        <f>D9</f>
        <v>830</v>
      </c>
      <c r="F9" s="370"/>
      <c r="G9" s="365"/>
      <c r="H9" s="201"/>
      <c r="I9" s="38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6611464.038194444</v>
      </c>
      <c r="T9" s="252"/>
      <c r="U9" s="254">
        <f t="shared" ref="U9:U66" si="4">($V$2/12+1)*U8+$V$3</f>
        <v>20083.333333333336</v>
      </c>
      <c r="V9" s="254">
        <f t="shared" ref="V9:V66" si="5">V8+$I$65</f>
        <v>26345.218333333331</v>
      </c>
      <c r="W9" s="252">
        <f t="shared" ref="W9:W66" si="6">W8+X8</f>
        <v>2783000</v>
      </c>
      <c r="X9" s="252">
        <f t="shared" si="2"/>
        <v>0</v>
      </c>
      <c r="Y9" s="252">
        <f t="shared" si="1"/>
        <v>3874892.5898611108</v>
      </c>
      <c r="Z9" s="255"/>
      <c r="AA9" s="255"/>
      <c r="AB9" s="255"/>
      <c r="AC9" s="255"/>
    </row>
    <row r="10" spans="2:35" ht="45" x14ac:dyDescent="0.45">
      <c r="B10" s="365" t="s">
        <v>48</v>
      </c>
      <c r="C10" s="381"/>
      <c r="D10" s="378">
        <f>M10</f>
        <v>0</v>
      </c>
      <c r="E10" s="385"/>
      <c r="F10" s="370"/>
      <c r="G10" s="365"/>
      <c r="H10" s="201"/>
      <c r="I10" s="38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6650030.9117505783</v>
      </c>
      <c r="T10" s="252"/>
      <c r="U10" s="254">
        <f t="shared" si="4"/>
        <v>30250.694444444445</v>
      </c>
      <c r="V10" s="254">
        <f t="shared" si="5"/>
        <v>36517.827499999999</v>
      </c>
      <c r="W10" s="252">
        <f t="shared" si="6"/>
        <v>2783000</v>
      </c>
      <c r="X10" s="252">
        <f t="shared" si="2"/>
        <v>0</v>
      </c>
      <c r="Y10" s="252">
        <f t="shared" si="1"/>
        <v>3933799.433695022</v>
      </c>
      <c r="Z10" s="255"/>
      <c r="AA10" s="255"/>
      <c r="AB10" s="255"/>
      <c r="AC10" s="255"/>
    </row>
    <row r="11" spans="2:35" ht="46" thickBot="1" x14ac:dyDescent="0.5">
      <c r="B11" s="365"/>
      <c r="C11" s="366"/>
      <c r="D11" s="201"/>
      <c r="E11" s="374"/>
      <c r="F11" s="372"/>
      <c r="G11" s="365"/>
      <c r="H11" s="201"/>
      <c r="I11" s="38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6688822.7587357899</v>
      </c>
      <c r="T11" s="252"/>
      <c r="U11" s="254">
        <f t="shared" si="4"/>
        <v>40502.783564814818</v>
      </c>
      <c r="V11" s="254">
        <f t="shared" si="5"/>
        <v>46690.436666666661</v>
      </c>
      <c r="W11" s="252">
        <f t="shared" si="6"/>
        <v>2783000</v>
      </c>
      <c r="X11" s="252">
        <f t="shared" si="2"/>
        <v>0</v>
      </c>
      <c r="Y11" s="252">
        <f t="shared" si="1"/>
        <v>3993015.9789672708</v>
      </c>
      <c r="Z11" s="255"/>
      <c r="AA11" s="255"/>
      <c r="AB11" s="255"/>
      <c r="AC11" s="255"/>
    </row>
    <row r="12" spans="2:35" ht="45" x14ac:dyDescent="0.45">
      <c r="B12" s="387" t="s">
        <v>279</v>
      </c>
      <c r="C12" s="372"/>
      <c r="D12" s="373"/>
      <c r="E12" s="374"/>
      <c r="F12" s="372"/>
      <c r="G12" s="536" t="s">
        <v>129</v>
      </c>
      <c r="H12" s="538" t="s">
        <v>277</v>
      </c>
      <c r="I12" s="541" t="s">
        <v>278</v>
      </c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6727840.8914950825</v>
      </c>
      <c r="T12" s="252"/>
      <c r="U12" s="254">
        <f t="shared" si="4"/>
        <v>50840.306761188273</v>
      </c>
      <c r="V12" s="254">
        <f t="shared" si="5"/>
        <v>56863.045833333323</v>
      </c>
      <c r="W12" s="252">
        <f t="shared" si="6"/>
        <v>2783000</v>
      </c>
      <c r="X12" s="252">
        <f t="shared" si="2"/>
        <v>0</v>
      </c>
      <c r="Y12" s="252">
        <f t="shared" si="1"/>
        <v>4052544.2440896044</v>
      </c>
      <c r="Z12" s="255"/>
      <c r="AA12" s="255"/>
      <c r="AB12" s="255"/>
      <c r="AC12" s="255"/>
    </row>
    <row r="13" spans="2:35" ht="45" x14ac:dyDescent="0.45">
      <c r="B13" s="365"/>
      <c r="C13" s="372"/>
      <c r="D13" s="373"/>
      <c r="E13" s="374"/>
      <c r="F13" s="372"/>
      <c r="G13" s="537"/>
      <c r="H13" s="19"/>
      <c r="I13" s="546"/>
      <c r="K13" s="205"/>
      <c r="L13" s="527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6767086.6300288038</v>
      </c>
      <c r="T13" s="252"/>
      <c r="U13" s="254">
        <f t="shared" si="4"/>
        <v>61263.975984198172</v>
      </c>
      <c r="V13" s="254">
        <f t="shared" si="5"/>
        <v>67035.654999999984</v>
      </c>
      <c r="W13" s="252">
        <f t="shared" si="6"/>
        <v>2783000</v>
      </c>
      <c r="X13" s="252">
        <f t="shared" si="2"/>
        <v>0</v>
      </c>
      <c r="Y13" s="252">
        <f t="shared" si="1"/>
        <v>4112386.2610130021</v>
      </c>
      <c r="Z13" s="255"/>
      <c r="AA13" s="255"/>
      <c r="AB13" s="255"/>
      <c r="AC13" s="255"/>
    </row>
    <row r="14" spans="2:35" ht="45" x14ac:dyDescent="0.45">
      <c r="B14" s="365" t="str">
        <f>L14</f>
        <v>Rental income Forest Lake (per week)</v>
      </c>
      <c r="C14" s="391">
        <f>D14*12</f>
        <v>0</v>
      </c>
      <c r="D14" s="378">
        <f>M14*52/12</f>
        <v>0</v>
      </c>
      <c r="E14" s="392">
        <f>SUM(D14-D23)</f>
        <v>0</v>
      </c>
      <c r="F14" s="391"/>
      <c r="G14" s="544" t="s">
        <v>68</v>
      </c>
      <c r="H14" s="539" t="e">
        <f>C14/E49</f>
        <v>#DIV/0!</v>
      </c>
      <c r="I14" s="542" t="e">
        <f>(D14-M29)/E49*12</f>
        <v>#DIV/0!</v>
      </c>
      <c r="K14" s="205"/>
      <c r="L14" s="212" t="s">
        <v>220</v>
      </c>
      <c r="M14" s="223"/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6806561.3020373052</v>
      </c>
      <c r="T14" s="252"/>
      <c r="U14" s="254">
        <f t="shared" si="4"/>
        <v>71774.509117399823</v>
      </c>
      <c r="V14" s="254">
        <f t="shared" si="5"/>
        <v>77208.264166666646</v>
      </c>
      <c r="W14" s="252">
        <f t="shared" si="6"/>
        <v>2783000</v>
      </c>
      <c r="X14" s="252">
        <f t="shared" si="2"/>
        <v>0</v>
      </c>
      <c r="Y14" s="252">
        <f t="shared" si="1"/>
        <v>4172544.0753213717</v>
      </c>
      <c r="Z14" s="255"/>
      <c r="AA14" s="255"/>
      <c r="AB14" s="255"/>
      <c r="AC14" s="255"/>
    </row>
    <row r="15" spans="2:35" ht="45" x14ac:dyDescent="0.45">
      <c r="B15" s="365" t="str">
        <f>L15</f>
        <v>Rental income Strathpine (per week)</v>
      </c>
      <c r="C15" s="391">
        <f>D15*12</f>
        <v>39156</v>
      </c>
      <c r="D15" s="378">
        <f>M15*52/12</f>
        <v>3263</v>
      </c>
      <c r="E15" s="392">
        <f>SUM(D15-D24)</f>
        <v>1428</v>
      </c>
      <c r="F15" s="391"/>
      <c r="G15" s="544" t="s">
        <v>69</v>
      </c>
      <c r="H15" s="539">
        <f>C15/E50</f>
        <v>6.7510344827586208E-2</v>
      </c>
      <c r="I15" s="542">
        <f>(D15-M30)/E50*12</f>
        <v>5.0199999999999995E-2</v>
      </c>
      <c r="K15" s="205"/>
      <c r="L15" s="212" t="s">
        <v>221</v>
      </c>
      <c r="M15" s="223">
        <v>753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6846266.2429658566</v>
      </c>
      <c r="T15" s="252"/>
      <c r="U15" s="254">
        <f t="shared" si="4"/>
        <v>82372.630026711486</v>
      </c>
      <c r="V15" s="254">
        <f t="shared" si="5"/>
        <v>87380.873333333308</v>
      </c>
      <c r="W15" s="252">
        <f t="shared" si="6"/>
        <v>2783000</v>
      </c>
      <c r="X15" s="252">
        <f t="shared" si="2"/>
        <v>0</v>
      </c>
      <c r="Y15" s="252">
        <f t="shared" si="1"/>
        <v>4233019.7463259008</v>
      </c>
      <c r="Z15" s="255"/>
      <c r="AA15" s="255"/>
      <c r="AB15" s="255"/>
      <c r="AC15" s="255"/>
    </row>
    <row r="16" spans="2:35" ht="45" x14ac:dyDescent="0.45">
      <c r="B16" s="365" t="str">
        <f>L16</f>
        <v>Rental income Mt Sheridan (per week)</v>
      </c>
      <c r="C16" s="391">
        <f>D16*12</f>
        <v>37960</v>
      </c>
      <c r="D16" s="378">
        <f>M16*52/12</f>
        <v>3163.3333333333335</v>
      </c>
      <c r="E16" s="392">
        <f>SUM(D16-D25)</f>
        <v>-1433.2400000000002</v>
      </c>
      <c r="F16" s="391"/>
      <c r="G16" s="544" t="s">
        <v>217</v>
      </c>
      <c r="H16" s="539">
        <f>C16/E51</f>
        <v>5.2358620689655175E-2</v>
      </c>
      <c r="I16" s="542">
        <f>(D16-M31)/E51*12</f>
        <v>3.873864827586207E-2</v>
      </c>
      <c r="K16" s="205"/>
      <c r="L16" s="212" t="s">
        <v>222</v>
      </c>
      <c r="M16" s="223">
        <v>730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6886202.796049824</v>
      </c>
      <c r="T16" s="252"/>
      <c r="U16" s="254">
        <f t="shared" si="4"/>
        <v>93059.068610267408</v>
      </c>
      <c r="V16" s="254">
        <f t="shared" si="5"/>
        <v>97553.482499999969</v>
      </c>
      <c r="W16" s="252">
        <f t="shared" si="6"/>
        <v>2783000</v>
      </c>
      <c r="X16" s="252">
        <f t="shared" si="2"/>
        <v>0</v>
      </c>
      <c r="Y16" s="252">
        <f t="shared" si="1"/>
        <v>4293815.3471600916</v>
      </c>
      <c r="Z16" s="255"/>
      <c r="AA16" s="255"/>
      <c r="AB16" s="255"/>
      <c r="AC16" s="255"/>
    </row>
    <row r="17" spans="2:29" ht="45" x14ac:dyDescent="0.45">
      <c r="B17" s="365" t="str">
        <f>L17</f>
        <v>Rental income - Eimeo (per week)</v>
      </c>
      <c r="C17" s="391">
        <f>D17*12</f>
        <v>43160</v>
      </c>
      <c r="D17" s="378">
        <f>M17*52/12</f>
        <v>3596.6666666666665</v>
      </c>
      <c r="E17" s="392">
        <f>SUM(D17-D26)</f>
        <v>-1332.5483333333336</v>
      </c>
      <c r="F17" s="391"/>
      <c r="G17" s="544" t="s">
        <v>244</v>
      </c>
      <c r="H17" s="539">
        <f>C17/E52</f>
        <v>5.5333333333333332E-2</v>
      </c>
      <c r="I17" s="542">
        <f>(D17-M32)/E52*12</f>
        <v>4.2087076923076921E-2</v>
      </c>
      <c r="K17" s="205"/>
      <c r="L17" s="212" t="s">
        <v>243</v>
      </c>
      <c r="M17" s="223">
        <v>830</v>
      </c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6926372.3123601144</v>
      </c>
      <c r="T17" s="252">
        <f>$V$4</f>
        <v>2000000</v>
      </c>
      <c r="U17" s="254">
        <f t="shared" si="4"/>
        <v>103834.56084868631</v>
      </c>
      <c r="V17" s="254">
        <f t="shared" si="5"/>
        <v>107726.09166666663</v>
      </c>
      <c r="W17" s="252">
        <f t="shared" si="6"/>
        <v>2783000</v>
      </c>
      <c r="X17" s="252">
        <f t="shared" si="2"/>
        <v>2000000</v>
      </c>
      <c r="Y17" s="252">
        <f t="shared" si="1"/>
        <v>6354932.964875469</v>
      </c>
      <c r="Z17" s="255"/>
      <c r="AA17" s="255"/>
      <c r="AB17" s="255"/>
      <c r="AC17" s="255"/>
    </row>
    <row r="18" spans="2:29" ht="46" thickBot="1" x14ac:dyDescent="0.5">
      <c r="B18" s="365" t="str">
        <f>L18</f>
        <v>Rental income -  (per week)</v>
      </c>
      <c r="C18" s="391">
        <f>D18*12</f>
        <v>0</v>
      </c>
      <c r="D18" s="378">
        <f>M18*52/12</f>
        <v>0</v>
      </c>
      <c r="E18" s="528">
        <f>IF(SUM(D18-D27)&gt;=0, SUM(D18-D27), "")</f>
        <v>0</v>
      </c>
      <c r="F18" s="391"/>
      <c r="G18" s="545" t="s">
        <v>245</v>
      </c>
      <c r="H18" s="540" t="s">
        <v>151</v>
      </c>
      <c r="I18" s="543" t="s">
        <v>151</v>
      </c>
      <c r="K18" s="205"/>
      <c r="L18" s="214" t="s">
        <v>248</v>
      </c>
      <c r="M18" s="224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8966776.1508488823</v>
      </c>
      <c r="T18" s="252"/>
      <c r="U18" s="254">
        <f t="shared" si="4"/>
        <v>114699.84885575868</v>
      </c>
      <c r="V18" s="254">
        <f t="shared" si="5"/>
        <v>117898.70083333329</v>
      </c>
      <c r="W18" s="252">
        <f t="shared" si="6"/>
        <v>4783000</v>
      </c>
      <c r="X18" s="252">
        <f t="shared" si="2"/>
        <v>0</v>
      </c>
      <c r="Y18" s="252">
        <f t="shared" si="1"/>
        <v>4416374.700537974</v>
      </c>
      <c r="Z18" s="255"/>
      <c r="AA18" s="255"/>
      <c r="AB18" s="255"/>
      <c r="AC18" s="255"/>
    </row>
    <row r="19" spans="2:29" ht="60" thickBot="1" x14ac:dyDescent="0.6">
      <c r="B19" s="533" t="s">
        <v>276</v>
      </c>
      <c r="C19" s="535" cm="1">
        <f t="array" ref="C19">SUM(E16:E18+E14)*0.4*-12</f>
        <v>13275.784000000003</v>
      </c>
      <c r="D19" s="535">
        <f>C19/12</f>
        <v>1106.3153333333337</v>
      </c>
      <c r="E19" s="534"/>
      <c r="F19" s="391"/>
      <c r="G19" s="547" t="s">
        <v>56</v>
      </c>
      <c r="H19" s="548" t="s">
        <v>57</v>
      </c>
      <c r="I19" s="549">
        <f>SUM(D6:D18)</f>
        <v>33863</v>
      </c>
      <c r="K19" s="205"/>
      <c r="L19" s="215"/>
      <c r="M19" s="216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9019082.3450621683</v>
      </c>
      <c r="T19" s="252"/>
      <c r="U19" s="254">
        <f t="shared" si="4"/>
        <v>125655.68092955666</v>
      </c>
      <c r="V19" s="254">
        <f t="shared" si="5"/>
        <v>128071.30999999995</v>
      </c>
      <c r="W19" s="252">
        <f t="shared" si="6"/>
        <v>4783000</v>
      </c>
      <c r="X19" s="252">
        <f t="shared" si="2"/>
        <v>0</v>
      </c>
      <c r="Y19" s="252">
        <f t="shared" si="1"/>
        <v>4489809.3359917253</v>
      </c>
      <c r="Z19" s="255"/>
      <c r="AA19" s="255"/>
      <c r="AB19" s="255"/>
      <c r="AC19" s="255"/>
    </row>
    <row r="20" spans="2:29" ht="45" x14ac:dyDescent="0.45">
      <c r="B20" s="400" t="s">
        <v>5</v>
      </c>
      <c r="C20" s="401" t="s">
        <v>55</v>
      </c>
      <c r="D20" s="401" t="s">
        <v>37</v>
      </c>
      <c r="E20" s="401"/>
      <c r="F20" s="402"/>
      <c r="G20" s="403"/>
      <c r="H20" s="404"/>
      <c r="I20" s="405"/>
      <c r="K20" s="205"/>
      <c r="L20" s="241" t="s">
        <v>5</v>
      </c>
      <c r="M20" s="243"/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9071693.6587416977</v>
      </c>
      <c r="T20" s="252"/>
      <c r="U20" s="254">
        <f t="shared" si="4"/>
        <v>136702.81160396963</v>
      </c>
      <c r="V20" s="254">
        <f t="shared" si="5"/>
        <v>138243.91916666663</v>
      </c>
      <c r="W20" s="252">
        <f t="shared" si="6"/>
        <v>4783000</v>
      </c>
      <c r="X20" s="252">
        <f t="shared" si="2"/>
        <v>0</v>
      </c>
      <c r="Y20" s="252">
        <f t="shared" si="1"/>
        <v>4563640.389512334</v>
      </c>
      <c r="Z20" s="255"/>
      <c r="AA20" s="255"/>
      <c r="AB20" s="255"/>
      <c r="AC20" s="255"/>
    </row>
    <row r="21" spans="2:29" ht="45" x14ac:dyDescent="0.45">
      <c r="B21" s="365"/>
      <c r="C21" s="366"/>
      <c r="D21" s="201"/>
      <c r="E21" s="384"/>
      <c r="F21" s="366"/>
      <c r="G21" s="406"/>
      <c r="H21" s="201"/>
      <c r="I21" s="407"/>
      <c r="K21" s="205"/>
      <c r="L21" s="212"/>
      <c r="M21" s="213"/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9124611.8717510253</v>
      </c>
      <c r="T21" s="252"/>
      <c r="U21" s="254">
        <f t="shared" si="4"/>
        <v>147842.00170066938</v>
      </c>
      <c r="V21" s="254">
        <f t="shared" si="5"/>
        <v>148416.52833333329</v>
      </c>
      <c r="W21" s="252">
        <f t="shared" si="6"/>
        <v>4783000</v>
      </c>
      <c r="X21" s="252">
        <f t="shared" si="2"/>
        <v>0</v>
      </c>
      <c r="Y21" s="252">
        <f t="shared" si="1"/>
        <v>4637870.4017850272</v>
      </c>
      <c r="Z21" s="255"/>
      <c r="AA21" s="255"/>
      <c r="AB21" s="255"/>
      <c r="AC21" s="255"/>
    </row>
    <row r="22" spans="2:29" ht="45" x14ac:dyDescent="0.45">
      <c r="B22" s="365" t="s">
        <v>36</v>
      </c>
      <c r="C22" s="408">
        <f t="shared" ref="C22:C27" si="8">D22*12</f>
        <v>59900</v>
      </c>
      <c r="D22" s="409">
        <f>M22*M75/12</f>
        <v>4991.666666666667</v>
      </c>
      <c r="E22" s="410"/>
      <c r="F22" s="402"/>
      <c r="G22" s="406"/>
      <c r="H22" s="201"/>
      <c r="I22" s="407"/>
      <c r="K22" s="205"/>
      <c r="L22" s="212" t="s">
        <v>118</v>
      </c>
      <c r="M22" s="225">
        <v>5.9900000000000002E-2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9177838.7743362393</v>
      </c>
      <c r="T22" s="252"/>
      <c r="U22" s="254">
        <f t="shared" si="4"/>
        <v>159074.0183815083</v>
      </c>
      <c r="V22" s="254">
        <f t="shared" si="5"/>
        <v>158589.13749999995</v>
      </c>
      <c r="W22" s="252">
        <f t="shared" si="6"/>
        <v>4783000</v>
      </c>
      <c r="X22" s="252">
        <f t="shared" si="2"/>
        <v>0</v>
      </c>
      <c r="Y22" s="252">
        <f t="shared" si="1"/>
        <v>4712501.9302177466</v>
      </c>
      <c r="Z22" s="255"/>
      <c r="AA22" s="255"/>
      <c r="AB22" s="255"/>
      <c r="AC22" s="255"/>
    </row>
    <row r="23" spans="2:29" ht="46" thickBot="1" x14ac:dyDescent="0.5">
      <c r="B23" s="365" t="s">
        <v>271</v>
      </c>
      <c r="C23" s="408">
        <f t="shared" si="8"/>
        <v>0</v>
      </c>
      <c r="D23" s="409">
        <f>M23*I49/12+(M29)</f>
        <v>0</v>
      </c>
      <c r="E23" s="410"/>
      <c r="F23" s="402"/>
      <c r="G23" s="406"/>
      <c r="H23" s="201"/>
      <c r="I23" s="407"/>
      <c r="K23" s="205"/>
      <c r="L23" s="212" t="s">
        <v>167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9231376.167186534</v>
      </c>
      <c r="T23" s="252"/>
      <c r="U23" s="254">
        <f t="shared" si="4"/>
        <v>170399.63520135419</v>
      </c>
      <c r="V23" s="254">
        <f t="shared" si="5"/>
        <v>168761.74666666662</v>
      </c>
      <c r="W23" s="252">
        <f t="shared" si="6"/>
        <v>4783000</v>
      </c>
      <c r="X23" s="252">
        <f t="shared" si="2"/>
        <v>0</v>
      </c>
      <c r="Y23" s="252">
        <f t="shared" si="1"/>
        <v>4787537.5490545537</v>
      </c>
      <c r="Z23" s="255"/>
      <c r="AA23" s="255"/>
      <c r="AB23" s="255"/>
      <c r="AC23" s="255"/>
    </row>
    <row r="24" spans="2:29" ht="46" thickBot="1" x14ac:dyDescent="0.5">
      <c r="B24" s="365" t="s">
        <v>272</v>
      </c>
      <c r="C24" s="408">
        <f t="shared" si="8"/>
        <v>22020</v>
      </c>
      <c r="D24" s="409">
        <f>M24*I50/12+(M30)</f>
        <v>1835</v>
      </c>
      <c r="E24" s="411"/>
      <c r="F24" s="412"/>
      <c r="G24" s="413" t="s">
        <v>86</v>
      </c>
      <c r="H24" s="376">
        <f>I19-I32</f>
        <v>10172.609166666665</v>
      </c>
      <c r="I24" s="407"/>
      <c r="K24" s="205"/>
      <c r="L24" s="212" t="s">
        <v>168</v>
      </c>
      <c r="M24" s="225">
        <f>M23</f>
        <v>5.9900000000000002E-2</v>
      </c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9285225.8614951223</v>
      </c>
      <c r="T24" s="252"/>
      <c r="U24" s="254">
        <f t="shared" si="4"/>
        <v>181819.63216136547</v>
      </c>
      <c r="V24" s="254">
        <f t="shared" si="5"/>
        <v>178934.35583333328</v>
      </c>
      <c r="W24" s="252">
        <f t="shared" si="6"/>
        <v>4783000</v>
      </c>
      <c r="X24" s="252">
        <f t="shared" si="2"/>
        <v>0</v>
      </c>
      <c r="Y24" s="252">
        <f t="shared" si="1"/>
        <v>4862979.8494898211</v>
      </c>
      <c r="Z24" s="255"/>
      <c r="AA24" s="255"/>
      <c r="AB24" s="255"/>
      <c r="AC24" s="255"/>
    </row>
    <row r="25" spans="2:29" ht="45" x14ac:dyDescent="0.45">
      <c r="B25" s="365" t="s">
        <v>273</v>
      </c>
      <c r="C25" s="408">
        <f t="shared" si="8"/>
        <v>55158.880000000005</v>
      </c>
      <c r="D25" s="409">
        <f>M25*I51/12+(M31)</f>
        <v>4596.5733333333337</v>
      </c>
      <c r="E25" s="410"/>
      <c r="F25" s="402"/>
      <c r="G25" s="414" t="s">
        <v>97</v>
      </c>
      <c r="H25" s="415"/>
      <c r="I25" s="407"/>
      <c r="K25" s="205"/>
      <c r="L25" s="212" t="s">
        <v>219</v>
      </c>
      <c r="M25" s="225">
        <f>M24</f>
        <v>5.9900000000000002E-2</v>
      </c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9339389.679020511</v>
      </c>
      <c r="T25" s="252"/>
      <c r="U25" s="254">
        <f t="shared" si="4"/>
        <v>193334.79576271019</v>
      </c>
      <c r="V25" s="254">
        <f t="shared" si="5"/>
        <v>189106.96499999994</v>
      </c>
      <c r="W25" s="252">
        <f t="shared" si="6"/>
        <v>4783000</v>
      </c>
      <c r="X25" s="252">
        <f t="shared" si="2"/>
        <v>0</v>
      </c>
      <c r="Y25" s="252">
        <f t="shared" si="1"/>
        <v>4938831.4397832211</v>
      </c>
      <c r="Z25" s="255"/>
      <c r="AA25" s="255"/>
      <c r="AB25" s="255"/>
      <c r="AC25" s="255"/>
    </row>
    <row r="26" spans="2:29" ht="45" x14ac:dyDescent="0.45">
      <c r="B26" s="365" t="s">
        <v>274</v>
      </c>
      <c r="C26" s="408">
        <f t="shared" si="8"/>
        <v>59150.58</v>
      </c>
      <c r="D26" s="409">
        <f>M26*I52/12+(M32)</f>
        <v>4929.2150000000001</v>
      </c>
      <c r="E26" s="410"/>
      <c r="F26" s="402"/>
      <c r="G26" s="494"/>
      <c r="H26" s="495"/>
      <c r="I26" s="407"/>
      <c r="K26" s="205"/>
      <c r="L26" s="212" t="s">
        <v>242</v>
      </c>
      <c r="M26" s="225">
        <f>M25</f>
        <v>5.9900000000000002E-2</v>
      </c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9393869.4521481302</v>
      </c>
      <c r="T26" s="252"/>
      <c r="U26" s="254">
        <f t="shared" si="4"/>
        <v>204945.91906073276</v>
      </c>
      <c r="V26" s="254">
        <f t="shared" si="5"/>
        <v>199279.5741666666</v>
      </c>
      <c r="W26" s="252">
        <f t="shared" si="6"/>
        <v>4783000</v>
      </c>
      <c r="X26" s="252">
        <f t="shared" si="2"/>
        <v>0</v>
      </c>
      <c r="Y26" s="252">
        <f t="shared" si="1"/>
        <v>5015094.94537553</v>
      </c>
      <c r="Z26" s="255"/>
      <c r="AA26" s="255"/>
      <c r="AB26" s="255"/>
      <c r="AC26" s="255"/>
    </row>
    <row r="27" spans="2:29" ht="45" x14ac:dyDescent="0.45">
      <c r="B27" s="365" t="s">
        <v>275</v>
      </c>
      <c r="C27" s="408">
        <f t="shared" si="8"/>
        <v>0</v>
      </c>
      <c r="D27" s="409">
        <f>M27*I53/12</f>
        <v>0</v>
      </c>
      <c r="E27" s="410"/>
      <c r="F27" s="402"/>
      <c r="G27" s="494"/>
      <c r="H27" s="495"/>
      <c r="I27" s="407"/>
      <c r="K27" s="205"/>
      <c r="L27" s="212" t="s">
        <v>252</v>
      </c>
      <c r="M27" s="225">
        <f>M26</f>
        <v>5.9900000000000002E-2</v>
      </c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9448667.0239523277</v>
      </c>
      <c r="T27" s="252"/>
      <c r="U27" s="254">
        <f t="shared" si="4"/>
        <v>216653.80171957219</v>
      </c>
      <c r="V27" s="254">
        <f t="shared" si="5"/>
        <v>209452.18333333326</v>
      </c>
      <c r="W27" s="252">
        <f t="shared" si="6"/>
        <v>4783000</v>
      </c>
      <c r="X27" s="252">
        <f t="shared" si="2"/>
        <v>0</v>
      </c>
      <c r="Y27" s="252">
        <f t="shared" si="1"/>
        <v>5091773.0090052336</v>
      </c>
      <c r="Z27" s="255"/>
      <c r="AA27" s="255"/>
      <c r="AB27" s="255"/>
      <c r="AC27" s="255"/>
    </row>
    <row r="28" spans="2:29" ht="45" x14ac:dyDescent="0.45">
      <c r="B28" s="365"/>
      <c r="C28" s="366"/>
      <c r="D28" s="416"/>
      <c r="E28" s="410"/>
      <c r="F28" s="402"/>
      <c r="G28" s="406"/>
      <c r="H28" s="201"/>
      <c r="I28" s="407"/>
      <c r="K28" s="205"/>
      <c r="L28" s="212"/>
      <c r="M28" s="225"/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9503784.2482587174</v>
      </c>
      <c r="T28" s="252">
        <f>$V$4</f>
        <v>2000000</v>
      </c>
      <c r="U28" s="254">
        <f t="shared" si="4"/>
        <v>228459.25006723529</v>
      </c>
      <c r="V28" s="254">
        <f t="shared" si="5"/>
        <v>219624.79249999992</v>
      </c>
      <c r="W28" s="252">
        <f t="shared" si="6"/>
        <v>4783000</v>
      </c>
      <c r="X28" s="252">
        <f t="shared" si="2"/>
        <v>2000000</v>
      </c>
      <c r="Y28" s="252">
        <f t="shared" si="1"/>
        <v>7168868.2908259537</v>
      </c>
      <c r="Z28" s="255"/>
      <c r="AA28" s="255"/>
      <c r="AB28" s="255"/>
      <c r="AC28" s="255"/>
    </row>
    <row r="29" spans="2:29" ht="45" x14ac:dyDescent="0.45">
      <c r="B29" s="365" t="s">
        <v>98</v>
      </c>
      <c r="C29" s="408">
        <f>D29*12</f>
        <v>88055.23</v>
      </c>
      <c r="D29" s="417">
        <f>SUM(M42:M48)</f>
        <v>7337.935833333333</v>
      </c>
      <c r="E29" s="384"/>
      <c r="F29" s="366"/>
      <c r="G29" s="406"/>
      <c r="H29" s="201"/>
      <c r="I29" s="407"/>
      <c r="J29" s="34"/>
      <c r="K29" s="218"/>
      <c r="L29" s="212" t="s">
        <v>253</v>
      </c>
      <c r="M29" s="532"/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11559222.989706893</v>
      </c>
      <c r="T29" s="252"/>
      <c r="U29" s="254">
        <f t="shared" si="4"/>
        <v>240363.07715112891</v>
      </c>
      <c r="V29" s="254">
        <f t="shared" si="5"/>
        <v>229797.40166666658</v>
      </c>
      <c r="W29" s="252">
        <f t="shared" si="6"/>
        <v>6783000</v>
      </c>
      <c r="X29" s="252">
        <f t="shared" si="2"/>
        <v>0</v>
      </c>
      <c r="Y29" s="252">
        <f t="shared" si="1"/>
        <v>5246383.4685246889</v>
      </c>
      <c r="Z29" s="255"/>
      <c r="AA29" s="255"/>
      <c r="AB29" s="255"/>
      <c r="AC29" s="255"/>
    </row>
    <row r="30" spans="2:29" ht="45" x14ac:dyDescent="0.45">
      <c r="B30" s="365" t="s">
        <v>92</v>
      </c>
      <c r="C30" s="408">
        <f>D30*12</f>
        <v>0</v>
      </c>
      <c r="D30" s="417">
        <f>'Monthly Expenses Budget'!C10</f>
        <v>0</v>
      </c>
      <c r="E30" s="384"/>
      <c r="F30" s="366"/>
      <c r="G30" s="406"/>
      <c r="H30" s="201"/>
      <c r="I30" s="407"/>
      <c r="J30" s="110"/>
      <c r="K30" s="207"/>
      <c r="L30" s="212" t="s">
        <v>254</v>
      </c>
      <c r="M30" s="532">
        <f>'Property Expenses'!C18</f>
        <v>836.66666666666674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11626651.790480183</v>
      </c>
      <c r="T30" s="252"/>
      <c r="U30" s="254">
        <f t="shared" si="4"/>
        <v>252366.10279405498</v>
      </c>
      <c r="V30" s="254">
        <f t="shared" si="5"/>
        <v>239970.01083333325</v>
      </c>
      <c r="W30" s="252">
        <f t="shared" si="6"/>
        <v>6783000</v>
      </c>
      <c r="X30" s="252">
        <f t="shared" si="2"/>
        <v>0</v>
      </c>
      <c r="Y30" s="252">
        <f t="shared" si="1"/>
        <v>5335987.9041075706</v>
      </c>
      <c r="Z30" s="255"/>
      <c r="AA30" s="255"/>
      <c r="AB30" s="255"/>
      <c r="AC30" s="255"/>
    </row>
    <row r="31" spans="2:29" ht="46" thickBot="1" x14ac:dyDescent="0.5">
      <c r="B31" s="365" t="s">
        <v>27</v>
      </c>
      <c r="C31" s="408"/>
      <c r="D31" s="417">
        <f>M38</f>
        <v>0</v>
      </c>
      <c r="E31" s="384"/>
      <c r="F31" s="366"/>
      <c r="G31" s="406"/>
      <c r="H31" s="201"/>
      <c r="I31" s="407"/>
      <c r="K31" s="205"/>
      <c r="L31" s="212" t="s">
        <v>255</v>
      </c>
      <c r="M31" s="532">
        <f>'Property Expenses'!C26</f>
        <v>822.87333333333333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11694473.925924651</v>
      </c>
      <c r="T31" s="252"/>
      <c r="U31" s="254">
        <f t="shared" si="4"/>
        <v>264469.15365067206</v>
      </c>
      <c r="V31" s="254">
        <f t="shared" si="5"/>
        <v>250142.61999999991</v>
      </c>
      <c r="W31" s="252">
        <f t="shared" si="6"/>
        <v>6783000</v>
      </c>
      <c r="X31" s="252">
        <f t="shared" si="2"/>
        <v>0</v>
      </c>
      <c r="Y31" s="252">
        <f t="shared" si="1"/>
        <v>5426085.6995753217</v>
      </c>
      <c r="Z31" s="255"/>
      <c r="AA31" s="255"/>
      <c r="AB31" s="255"/>
      <c r="AC31" s="255"/>
    </row>
    <row r="32" spans="2:29" ht="60" thickBot="1" x14ac:dyDescent="0.6">
      <c r="B32" s="418"/>
      <c r="C32" s="419"/>
      <c r="D32" s="420"/>
      <c r="E32" s="421"/>
      <c r="F32" s="366"/>
      <c r="G32" s="550" t="s">
        <v>58</v>
      </c>
      <c r="H32" s="551" t="s">
        <v>57</v>
      </c>
      <c r="I32" s="552">
        <f>SUM(D22:D31)</f>
        <v>23690.390833333335</v>
      </c>
      <c r="K32" s="205"/>
      <c r="L32" s="212" t="s">
        <v>256</v>
      </c>
      <c r="M32" s="532">
        <f>'Property Expenses'!C34</f>
        <v>861.00666666666677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11762691.690492546</v>
      </c>
      <c r="T32" s="252"/>
      <c r="U32" s="254">
        <f t="shared" si="4"/>
        <v>276673.06326442765</v>
      </c>
      <c r="V32" s="254">
        <f t="shared" si="5"/>
        <v>260315.22916666657</v>
      </c>
      <c r="W32" s="252">
        <f t="shared" si="6"/>
        <v>6783000</v>
      </c>
      <c r="X32" s="252">
        <f t="shared" si="2"/>
        <v>0</v>
      </c>
      <c r="Y32" s="252">
        <f t="shared" si="1"/>
        <v>5516679.9829236399</v>
      </c>
      <c r="Z32" s="255"/>
      <c r="AA32" s="255"/>
      <c r="AB32" s="255"/>
      <c r="AC32" s="255"/>
    </row>
    <row r="33" spans="2:29" ht="46" thickBot="1" x14ac:dyDescent="0.5">
      <c r="B33" s="366"/>
      <c r="C33" s="366"/>
      <c r="D33" s="366"/>
      <c r="E33" s="425"/>
      <c r="F33" s="366"/>
      <c r="G33" s="366"/>
      <c r="H33" s="426"/>
      <c r="I33" s="425"/>
      <c r="K33" s="205"/>
      <c r="L33" s="212" t="s">
        <v>257</v>
      </c>
      <c r="M33" s="225"/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11831307.392020419</v>
      </c>
      <c r="T33" s="252"/>
      <c r="U33" s="254">
        <f t="shared" si="4"/>
        <v>288978.67212496453</v>
      </c>
      <c r="V33" s="254">
        <f t="shared" si="5"/>
        <v>270487.83833333326</v>
      </c>
      <c r="W33" s="252">
        <f t="shared" si="6"/>
        <v>6783000</v>
      </c>
      <c r="X33" s="252">
        <f t="shared" si="2"/>
        <v>0</v>
      </c>
      <c r="Y33" s="252">
        <f t="shared" si="1"/>
        <v>5607773.9024787173</v>
      </c>
      <c r="Z33" s="255"/>
      <c r="AA33" s="255"/>
      <c r="AB33" s="255"/>
      <c r="AC33" s="255"/>
    </row>
    <row r="34" spans="2:29" ht="48" thickBot="1" x14ac:dyDescent="0.6">
      <c r="B34" s="622" t="s">
        <v>7</v>
      </c>
      <c r="C34" s="623"/>
      <c r="D34" s="623"/>
      <c r="E34" s="623"/>
      <c r="F34" s="623"/>
      <c r="G34" s="623"/>
      <c r="H34" s="623"/>
      <c r="I34" s="624"/>
      <c r="K34" s="205"/>
      <c r="L34" s="212"/>
      <c r="M34" s="225"/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11900323.351807205</v>
      </c>
      <c r="T34" s="252"/>
      <c r="U34" s="254">
        <f t="shared" si="4"/>
        <v>301386.82772600593</v>
      </c>
      <c r="V34" s="254">
        <f t="shared" si="5"/>
        <v>280660.44749999995</v>
      </c>
      <c r="W34" s="252">
        <f t="shared" si="6"/>
        <v>6783000</v>
      </c>
      <c r="X34" s="252">
        <f t="shared" si="2"/>
        <v>0</v>
      </c>
      <c r="Y34" s="252">
        <f t="shared" si="1"/>
        <v>5699370.6270332113</v>
      </c>
      <c r="Z34" s="255"/>
      <c r="AA34" s="255"/>
      <c r="AB34" s="255"/>
      <c r="AC34" s="255"/>
    </row>
    <row r="35" spans="2:29" s="28" customFormat="1" ht="46" thickBot="1" x14ac:dyDescent="0.5">
      <c r="B35" s="365"/>
      <c r="C35" s="366"/>
      <c r="D35" s="366"/>
      <c r="E35" s="201"/>
      <c r="F35" s="366"/>
      <c r="G35" s="366"/>
      <c r="H35" s="366"/>
      <c r="I35" s="201"/>
      <c r="K35" s="208"/>
      <c r="L35" s="212"/>
      <c r="M35" s="225"/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11969741.904692747</v>
      </c>
      <c r="T35" s="252"/>
      <c r="U35" s="254">
        <f t="shared" si="4"/>
        <v>313898.38462372264</v>
      </c>
      <c r="V35" s="254">
        <f t="shared" si="5"/>
        <v>290833.05666666664</v>
      </c>
      <c r="W35" s="252">
        <f t="shared" si="6"/>
        <v>6783000</v>
      </c>
      <c r="X35" s="252">
        <f t="shared" si="2"/>
        <v>0</v>
      </c>
      <c r="Y35" s="252">
        <f t="shared" si="1"/>
        <v>5791473.3459831364</v>
      </c>
      <c r="Z35" s="255"/>
      <c r="AA35" s="255"/>
      <c r="AB35" s="255"/>
      <c r="AC35" s="255"/>
    </row>
    <row r="36" spans="2:29" ht="46" thickBot="1" x14ac:dyDescent="0.5">
      <c r="B36" s="427" t="s">
        <v>49</v>
      </c>
      <c r="C36" s="428"/>
      <c r="D36" s="428"/>
      <c r="E36" s="429" t="s">
        <v>67</v>
      </c>
      <c r="F36" s="366"/>
      <c r="G36" s="430" t="s">
        <v>50</v>
      </c>
      <c r="H36" s="431"/>
      <c r="I36" s="432"/>
      <c r="K36" s="205"/>
      <c r="L36" s="212"/>
      <c r="M36" s="213"/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12039565.399136787</v>
      </c>
      <c r="T36" s="252"/>
      <c r="U36" s="254">
        <f t="shared" si="4"/>
        <v>326514.20449558698</v>
      </c>
      <c r="V36" s="254">
        <f t="shared" si="5"/>
        <v>301005.66583333333</v>
      </c>
      <c r="W36" s="252">
        <f t="shared" si="6"/>
        <v>6783000</v>
      </c>
      <c r="X36" s="252">
        <f t="shared" si="2"/>
        <v>0</v>
      </c>
      <c r="Y36" s="252">
        <f t="shared" si="1"/>
        <v>5884085.2694657072</v>
      </c>
      <c r="Z36" s="255"/>
      <c r="AA36" s="255"/>
      <c r="AB36" s="255"/>
      <c r="AC36" s="255"/>
    </row>
    <row r="37" spans="2:29" ht="45" x14ac:dyDescent="0.45">
      <c r="B37" s="406"/>
      <c r="C37" s="366"/>
      <c r="D37" s="366"/>
      <c r="E37" s="407"/>
      <c r="F37" s="366"/>
      <c r="G37" s="365"/>
      <c r="H37" s="201"/>
      <c r="I37" s="384"/>
      <c r="K37" s="205"/>
      <c r="L37" s="212"/>
      <c r="M37" s="213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12109796.197298419</v>
      </c>
      <c r="T37" s="252"/>
      <c r="U37" s="254">
        <f t="shared" si="4"/>
        <v>339235.15619971685</v>
      </c>
      <c r="V37" s="254">
        <f t="shared" si="5"/>
        <v>311178.27500000002</v>
      </c>
      <c r="W37" s="252">
        <f t="shared" si="6"/>
        <v>6783000</v>
      </c>
      <c r="X37" s="252">
        <f t="shared" si="2"/>
        <v>0</v>
      </c>
      <c r="Y37" s="252">
        <f t="shared" si="1"/>
        <v>5977209.6284981351</v>
      </c>
      <c r="Z37" s="255"/>
      <c r="AA37" s="255"/>
      <c r="AB37" s="255"/>
      <c r="AC37" s="255"/>
    </row>
    <row r="38" spans="2:29" ht="45" x14ac:dyDescent="0.45">
      <c r="B38" s="406" t="s">
        <v>46</v>
      </c>
      <c r="C38" s="201"/>
      <c r="D38" s="366"/>
      <c r="E38" s="433">
        <f>M52</f>
        <v>6000</v>
      </c>
      <c r="F38" s="366"/>
      <c r="G38" s="365" t="s">
        <v>44</v>
      </c>
      <c r="H38" s="201"/>
      <c r="I38" s="434">
        <v>10000</v>
      </c>
      <c r="K38" s="205"/>
      <c r="L38" s="212" t="s">
        <v>99</v>
      </c>
      <c r="M38" s="213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12180436.675115993</v>
      </c>
      <c r="T38" s="252"/>
      <c r="U38" s="254">
        <f t="shared" si="4"/>
        <v>352062.1158347145</v>
      </c>
      <c r="V38" s="254">
        <f t="shared" si="5"/>
        <v>321350.88416666671</v>
      </c>
      <c r="W38" s="252">
        <f t="shared" si="6"/>
        <v>6783000</v>
      </c>
      <c r="X38" s="252">
        <f t="shared" si="2"/>
        <v>0</v>
      </c>
      <c r="Y38" s="252">
        <f t="shared" si="1"/>
        <v>6070849.6751173753</v>
      </c>
      <c r="Z38" s="255"/>
      <c r="AA38" s="255"/>
      <c r="AB38" s="255"/>
      <c r="AC38" s="255"/>
    </row>
    <row r="39" spans="2:29" ht="46" thickBot="1" x14ac:dyDescent="0.5">
      <c r="B39" s="406" t="s">
        <v>47</v>
      </c>
      <c r="C39" s="201"/>
      <c r="D39" s="366"/>
      <c r="E39" s="433">
        <f>M53</f>
        <v>0</v>
      </c>
      <c r="F39" s="366"/>
      <c r="G39" s="365" t="s">
        <v>45</v>
      </c>
      <c r="H39" s="201"/>
      <c r="I39" s="434">
        <v>2000</v>
      </c>
      <c r="K39" s="205"/>
      <c r="L39" s="212"/>
      <c r="M39" s="21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12251489.222387504</v>
      </c>
      <c r="T39" s="252"/>
      <c r="U39" s="254">
        <f t="shared" si="4"/>
        <v>364995.96680000378</v>
      </c>
      <c r="V39" s="254">
        <f t="shared" si="5"/>
        <v>331523.4933333334</v>
      </c>
      <c r="W39" s="252">
        <f t="shared" si="6"/>
        <v>6783000</v>
      </c>
      <c r="X39" s="252">
        <f t="shared" si="2"/>
        <v>0</v>
      </c>
      <c r="Y39" s="252">
        <f t="shared" si="1"/>
        <v>6165008.6825208422</v>
      </c>
      <c r="Z39" s="255"/>
      <c r="AA39" s="255"/>
      <c r="AB39" s="255"/>
      <c r="AC39" s="255"/>
    </row>
    <row r="40" spans="2:29" ht="45" x14ac:dyDescent="0.45">
      <c r="B40" s="406"/>
      <c r="C40" s="201"/>
      <c r="D40" s="563"/>
      <c r="E40" s="435"/>
      <c r="F40" s="366"/>
      <c r="G40" s="365" t="s">
        <v>62</v>
      </c>
      <c r="H40" s="201"/>
      <c r="I40" s="436"/>
      <c r="K40" s="205"/>
      <c r="L40" s="211" t="s">
        <v>119</v>
      </c>
      <c r="M40" s="217">
        <f>SUM(M41:M48)</f>
        <v>7337.935833333333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12322956.242851431</v>
      </c>
      <c r="T40" s="252">
        <f>$V$4</f>
        <v>2000000</v>
      </c>
      <c r="U40" s="254">
        <f t="shared" si="4"/>
        <v>378037.59985667048</v>
      </c>
      <c r="V40" s="254">
        <f t="shared" si="5"/>
        <v>341696.1025000001</v>
      </c>
      <c r="W40" s="252">
        <f t="shared" si="6"/>
        <v>6783000</v>
      </c>
      <c r="X40" s="252">
        <f t="shared" si="2"/>
        <v>2000000</v>
      </c>
      <c r="Y40" s="252">
        <f t="shared" si="1"/>
        <v>8259689.9452081025</v>
      </c>
      <c r="Z40" s="255"/>
      <c r="AA40" s="255"/>
      <c r="AB40" s="255"/>
      <c r="AC40" s="255"/>
    </row>
    <row r="41" spans="2:29" ht="45" x14ac:dyDescent="0.45">
      <c r="B41" s="406" t="s">
        <v>51</v>
      </c>
      <c r="C41" s="201"/>
      <c r="D41" s="366"/>
      <c r="E41" s="433">
        <f>M55</f>
        <v>0</v>
      </c>
      <c r="F41" s="366"/>
      <c r="G41" s="365" t="s">
        <v>61</v>
      </c>
      <c r="H41" s="201"/>
      <c r="I41" s="436"/>
      <c r="K41" s="205"/>
      <c r="L41" s="212" t="str">
        <f>'Monthly Expenses Budget'!B5</f>
        <v>Home and other Fixed Expenses</v>
      </c>
      <c r="M41" s="223">
        <f>'Monthly Expenses Budget'!C5</f>
        <v>0</v>
      </c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14394840.154268064</v>
      </c>
      <c r="T41" s="252"/>
      <c r="U41" s="254">
        <f t="shared" si="4"/>
        <v>391187.91318880941</v>
      </c>
      <c r="V41" s="254">
        <f t="shared" si="5"/>
        <v>351868.71166666679</v>
      </c>
      <c r="W41" s="252">
        <f t="shared" si="6"/>
        <v>8783000</v>
      </c>
      <c r="X41" s="252">
        <f t="shared" si="2"/>
        <v>0</v>
      </c>
      <c r="Y41" s="252">
        <f t="shared" si="1"/>
        <v>6354896.7791235391</v>
      </c>
      <c r="Z41" s="255"/>
      <c r="AA41" s="255"/>
      <c r="AB41" s="255"/>
      <c r="AC41" s="255"/>
    </row>
    <row r="42" spans="2:29" ht="45" x14ac:dyDescent="0.45">
      <c r="B42" s="406" t="s">
        <v>52</v>
      </c>
      <c r="C42" s="201"/>
      <c r="D42" s="366"/>
      <c r="E42" s="433">
        <f>M56</f>
        <v>0</v>
      </c>
      <c r="F42" s="366"/>
      <c r="G42" s="365"/>
      <c r="H42" s="201"/>
      <c r="I42" s="437"/>
      <c r="K42" s="205"/>
      <c r="L42" s="212" t="str">
        <f>'Monthly Expenses Budget'!B12</f>
        <v>Essentials</v>
      </c>
      <c r="M42" s="223">
        <f>'Monthly Expenses Budget'!C12</f>
        <v>875.73250000000007</v>
      </c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14478810.055167962</v>
      </c>
      <c r="T42" s="252"/>
      <c r="U42" s="254">
        <f t="shared" si="4"/>
        <v>404447.8124653828</v>
      </c>
      <c r="V42" s="254">
        <f t="shared" si="5"/>
        <v>362041.32083333348</v>
      </c>
      <c r="W42" s="252">
        <f t="shared" si="6"/>
        <v>8783000</v>
      </c>
      <c r="X42" s="252">
        <f t="shared" si="2"/>
        <v>0</v>
      </c>
      <c r="Y42" s="252">
        <f t="shared" si="1"/>
        <v>6462299.1884666774</v>
      </c>
      <c r="Z42" s="255"/>
      <c r="AA42" s="255"/>
      <c r="AB42" s="255"/>
      <c r="AC42" s="255"/>
    </row>
    <row r="43" spans="2:29" ht="45" x14ac:dyDescent="0.45">
      <c r="B43" s="406" t="s">
        <v>54</v>
      </c>
      <c r="C43" s="201"/>
      <c r="D43" s="366"/>
      <c r="E43" s="433">
        <f>M57</f>
        <v>0</v>
      </c>
      <c r="F43" s="366"/>
      <c r="G43" s="365"/>
      <c r="H43" s="201"/>
      <c r="I43" s="437"/>
      <c r="K43" s="205"/>
      <c r="L43" s="212" t="str">
        <f>'Monthly Expenses Budget'!B22</f>
        <v>Groceries</v>
      </c>
      <c r="M43" s="223">
        <f>'Monthly Expenses Budget'!C22</f>
        <v>2120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14563269.780489774</v>
      </c>
      <c r="T43" s="252"/>
      <c r="U43" s="254">
        <f t="shared" si="4"/>
        <v>417818.21090259432</v>
      </c>
      <c r="V43" s="254">
        <f t="shared" si="5"/>
        <v>372213.93000000017</v>
      </c>
      <c r="W43" s="252">
        <f t="shared" si="6"/>
        <v>8783000</v>
      </c>
      <c r="X43" s="252">
        <f t="shared" si="2"/>
        <v>0</v>
      </c>
      <c r="Y43" s="252">
        <f t="shared" si="1"/>
        <v>6570301.9213923682</v>
      </c>
      <c r="Z43" s="255"/>
      <c r="AA43" s="255"/>
      <c r="AB43" s="255"/>
      <c r="AC43" s="255"/>
    </row>
    <row r="44" spans="2:29" ht="45" x14ac:dyDescent="0.45">
      <c r="B44" s="406"/>
      <c r="C44" s="201"/>
      <c r="D44" s="366"/>
      <c r="E44" s="433"/>
      <c r="F44" s="366"/>
      <c r="G44" s="365"/>
      <c r="H44" s="201"/>
      <c r="I44" s="437"/>
      <c r="K44" s="205"/>
      <c r="L44" s="212" t="str">
        <f>'Monthly Expenses Budget'!B31</f>
        <v>House Maintenance</v>
      </c>
      <c r="M44" s="223">
        <f>'Monthly Expenses Budget'!C31</f>
        <v>230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14648222.187542632</v>
      </c>
      <c r="T44" s="252"/>
      <c r="U44" s="254">
        <f t="shared" si="4"/>
        <v>431300.02932678262</v>
      </c>
      <c r="V44" s="254">
        <f t="shared" si="5"/>
        <v>382386.53916666686</v>
      </c>
      <c r="W44" s="252">
        <f t="shared" si="6"/>
        <v>8783000</v>
      </c>
      <c r="X44" s="252">
        <f t="shared" si="2"/>
        <v>0</v>
      </c>
      <c r="Y44" s="252">
        <f t="shared" si="1"/>
        <v>6678908.7560360823</v>
      </c>
      <c r="Z44" s="255"/>
      <c r="AA44" s="255"/>
      <c r="AB44" s="255"/>
      <c r="AC44" s="255"/>
    </row>
    <row r="45" spans="2:29" ht="45" x14ac:dyDescent="0.45">
      <c r="B45" s="406" t="s">
        <v>65</v>
      </c>
      <c r="C45" s="201"/>
      <c r="D45" s="366"/>
      <c r="E45" s="433">
        <f>M59</f>
        <v>220000</v>
      </c>
      <c r="F45" s="366"/>
      <c r="G45" s="365"/>
      <c r="H45" s="201"/>
      <c r="I45" s="437"/>
      <c r="K45" s="205"/>
      <c r="L45" s="212" t="str">
        <f>'Monthly Expenses Budget'!B39</f>
        <v>Health</v>
      </c>
      <c r="M45" s="223">
        <f>'Monthly Expenses Budget'!C39</f>
        <v>1514.7033333333331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14733670.150303299</v>
      </c>
      <c r="T45" s="252"/>
      <c r="U45" s="254">
        <f t="shared" si="4"/>
        <v>444894.19623783912</v>
      </c>
      <c r="V45" s="254">
        <f t="shared" si="5"/>
        <v>392559.14833333355</v>
      </c>
      <c r="W45" s="252">
        <f t="shared" si="6"/>
        <v>8783000</v>
      </c>
      <c r="X45" s="252">
        <f t="shared" si="2"/>
        <v>0</v>
      </c>
      <c r="Y45" s="252">
        <f t="shared" si="1"/>
        <v>6788123.4948744718</v>
      </c>
      <c r="Z45" s="255"/>
      <c r="AA45" s="255"/>
      <c r="AB45" s="255"/>
      <c r="AC45" s="255"/>
    </row>
    <row r="46" spans="2:29" ht="45" x14ac:dyDescent="0.45">
      <c r="B46" s="406" t="s">
        <v>66</v>
      </c>
      <c r="C46" s="201"/>
      <c r="D46" s="366"/>
      <c r="E46" s="433">
        <f>M60</f>
        <v>200000</v>
      </c>
      <c r="F46" s="366"/>
      <c r="G46" s="365"/>
      <c r="H46" s="201"/>
      <c r="I46" s="437"/>
      <c r="K46" s="205"/>
      <c r="L46" s="212" t="str">
        <f>'Monthly Expenses Budget'!B49</f>
        <v>Discretionary</v>
      </c>
      <c r="M46" s="223">
        <f>'Monthly Expenses Budget'!C49</f>
        <v>1100</v>
      </c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14819616.559513401</v>
      </c>
      <c r="T46" s="252"/>
      <c r="U46" s="254">
        <f t="shared" si="4"/>
        <v>458601.64787315443</v>
      </c>
      <c r="V46" s="254">
        <f t="shared" si="5"/>
        <v>402731.75750000024</v>
      </c>
      <c r="W46" s="252">
        <f t="shared" si="6"/>
        <v>8783000</v>
      </c>
      <c r="X46" s="252">
        <f t="shared" si="2"/>
        <v>0</v>
      </c>
      <c r="Y46" s="252">
        <f t="shared" si="1"/>
        <v>6897949.9648865554</v>
      </c>
      <c r="Z46" s="255"/>
      <c r="AA46" s="255"/>
      <c r="AB46" s="255"/>
      <c r="AC46" s="255"/>
    </row>
    <row r="47" spans="2:29" ht="45" x14ac:dyDescent="0.45">
      <c r="B47" s="406"/>
      <c r="C47" s="366"/>
      <c r="D47" s="389" t="s">
        <v>63</v>
      </c>
      <c r="E47" s="435"/>
      <c r="F47" s="366"/>
      <c r="G47" s="365"/>
      <c r="H47" s="201"/>
      <c r="I47" s="437"/>
      <c r="K47" s="205"/>
      <c r="L47" s="212" t="str">
        <f>'Monthly Expenses Budget'!B58</f>
        <v>Sports / Activities</v>
      </c>
      <c r="M47" s="223">
        <f>'Monthly Expenses Budget'!C58</f>
        <v>397.5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14906064.32277723</v>
      </c>
      <c r="T47" s="252"/>
      <c r="U47" s="254">
        <f t="shared" si="4"/>
        <v>472423.32827209739</v>
      </c>
      <c r="V47" s="254">
        <f t="shared" si="5"/>
        <v>412904.36666666693</v>
      </c>
      <c r="W47" s="252">
        <f t="shared" si="6"/>
        <v>8783000</v>
      </c>
      <c r="X47" s="252">
        <f t="shared" si="2"/>
        <v>0</v>
      </c>
      <c r="Y47" s="252">
        <f t="shared" si="1"/>
        <v>7008392.0177159943</v>
      </c>
      <c r="Z47" s="255"/>
      <c r="AA47" s="255"/>
      <c r="AB47" s="255"/>
      <c r="AC47" s="255"/>
    </row>
    <row r="48" spans="2:29" ht="46" thickBot="1" x14ac:dyDescent="0.5">
      <c r="B48" s="406" t="s">
        <v>2</v>
      </c>
      <c r="C48" s="366"/>
      <c r="D48" s="438">
        <f t="shared" ref="D48:D53" si="9">E48-I48</f>
        <v>3450000</v>
      </c>
      <c r="E48" s="433">
        <f t="shared" ref="E48:E53" si="10">M62</f>
        <v>4450000</v>
      </c>
      <c r="F48" s="366"/>
      <c r="G48" s="365" t="s">
        <v>6</v>
      </c>
      <c r="H48" s="201"/>
      <c r="I48" s="434">
        <f>M75</f>
        <v>1000000</v>
      </c>
      <c r="K48" s="205"/>
      <c r="L48" s="214" t="str">
        <f>'Monthly Expenses Budget'!B64</f>
        <v>Other</v>
      </c>
      <c r="M48" s="224">
        <f>'Monthly Expenses Budget'!C64</f>
        <v>1100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14993016.364660097</v>
      </c>
      <c r="T48" s="252"/>
      <c r="U48" s="254">
        <f t="shared" si="4"/>
        <v>486360.18934103154</v>
      </c>
      <c r="V48" s="254">
        <f t="shared" si="5"/>
        <v>423076.97583333362</v>
      </c>
      <c r="W48" s="252">
        <f t="shared" si="6"/>
        <v>8783000</v>
      </c>
      <c r="X48" s="252">
        <f t="shared" si="2"/>
        <v>0</v>
      </c>
      <c r="Y48" s="252">
        <f t="shared" si="1"/>
        <v>7119453.5298344623</v>
      </c>
      <c r="Z48" s="255"/>
      <c r="AA48" s="255"/>
      <c r="AB48" s="255"/>
      <c r="AC48" s="255"/>
    </row>
    <row r="49" spans="2:29" ht="45" x14ac:dyDescent="0.45">
      <c r="B49" s="406" t="s">
        <v>169</v>
      </c>
      <c r="C49" s="366"/>
      <c r="D49" s="438">
        <f t="shared" si="9"/>
        <v>0</v>
      </c>
      <c r="E49" s="433">
        <f t="shared" si="10"/>
        <v>0</v>
      </c>
      <c r="F49" s="366"/>
      <c r="G49" s="406" t="s">
        <v>223</v>
      </c>
      <c r="H49" s="201"/>
      <c r="I49" s="434">
        <f>M77</f>
        <v>0</v>
      </c>
      <c r="K49" s="205"/>
      <c r="L49" s="206"/>
      <c r="M49" s="205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15080475.626787281</v>
      </c>
      <c r="T49" s="252"/>
      <c r="U49" s="254">
        <f t="shared" si="4"/>
        <v>500413.19091887347</v>
      </c>
      <c r="V49" s="254">
        <f t="shared" si="5"/>
        <v>433249.58500000031</v>
      </c>
      <c r="W49" s="252">
        <f t="shared" si="6"/>
        <v>8783000</v>
      </c>
      <c r="X49" s="252">
        <f t="shared" si="2"/>
        <v>0</v>
      </c>
      <c r="Y49" s="252">
        <f t="shared" si="1"/>
        <v>7231138.4027061556</v>
      </c>
      <c r="Z49" s="255"/>
      <c r="AA49" s="255"/>
      <c r="AB49" s="255"/>
      <c r="AC49" s="255"/>
    </row>
    <row r="50" spans="2:29" s="17" customFormat="1" ht="46" thickBot="1" x14ac:dyDescent="0.5">
      <c r="B50" s="406" t="s">
        <v>170</v>
      </c>
      <c r="C50" s="366"/>
      <c r="D50" s="438">
        <f t="shared" si="9"/>
        <v>380000</v>
      </c>
      <c r="E50" s="433">
        <f t="shared" si="10"/>
        <v>580000</v>
      </c>
      <c r="F50" s="366"/>
      <c r="G50" s="406" t="s">
        <v>224</v>
      </c>
      <c r="H50" s="201"/>
      <c r="I50" s="434">
        <f>M78</f>
        <v>200000</v>
      </c>
      <c r="K50" s="206"/>
      <c r="L50" s="215"/>
      <c r="M50" s="216"/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15168445.067943539</v>
      </c>
      <c r="T50" s="252"/>
      <c r="U50" s="254">
        <f t="shared" si="4"/>
        <v>514583.30084319739</v>
      </c>
      <c r="V50" s="254">
        <f t="shared" si="5"/>
        <v>443422.194166667</v>
      </c>
      <c r="W50" s="252">
        <f t="shared" si="6"/>
        <v>8783000</v>
      </c>
      <c r="X50" s="252">
        <f t="shared" si="2"/>
        <v>0</v>
      </c>
      <c r="Y50" s="252">
        <f t="shared" si="1"/>
        <v>7343450.5629534051</v>
      </c>
      <c r="Z50" s="255"/>
      <c r="AA50" s="256"/>
      <c r="AB50" s="256"/>
      <c r="AC50" s="256"/>
    </row>
    <row r="51" spans="2:29" s="17" customFormat="1" ht="45" x14ac:dyDescent="0.45">
      <c r="B51" s="406" t="s">
        <v>214</v>
      </c>
      <c r="C51" s="366"/>
      <c r="D51" s="438">
        <f t="shared" si="9"/>
        <v>-31000</v>
      </c>
      <c r="E51" s="433">
        <f t="shared" si="10"/>
        <v>725000</v>
      </c>
      <c r="F51" s="366"/>
      <c r="G51" s="406" t="s">
        <v>225</v>
      </c>
      <c r="H51" s="201"/>
      <c r="I51" s="434">
        <f>M79</f>
        <v>756000</v>
      </c>
      <c r="K51" s="206"/>
      <c r="L51" s="241" t="s">
        <v>49</v>
      </c>
      <c r="M51" s="243"/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15256927.66417321</v>
      </c>
      <c r="T51" s="252"/>
      <c r="U51" s="254">
        <f t="shared" si="4"/>
        <v>528871.49501689069</v>
      </c>
      <c r="V51" s="254">
        <f t="shared" si="5"/>
        <v>453594.80333333369</v>
      </c>
      <c r="W51" s="252">
        <f t="shared" si="6"/>
        <v>8783000</v>
      </c>
      <c r="X51" s="252">
        <f t="shared" si="2"/>
        <v>0</v>
      </c>
      <c r="Y51" s="252">
        <f t="shared" si="1"/>
        <v>7456393.9625234343</v>
      </c>
      <c r="Z51" s="255"/>
      <c r="AA51" s="256"/>
      <c r="AB51" s="256"/>
      <c r="AC51" s="256"/>
    </row>
    <row r="52" spans="2:29" s="17" customFormat="1" ht="45" x14ac:dyDescent="0.45">
      <c r="B52" s="406" t="s">
        <v>241</v>
      </c>
      <c r="C52" s="366"/>
      <c r="D52" s="438">
        <f t="shared" si="9"/>
        <v>-35000</v>
      </c>
      <c r="E52" s="433">
        <f t="shared" si="10"/>
        <v>780000</v>
      </c>
      <c r="F52" s="366"/>
      <c r="G52" s="406" t="s">
        <v>240</v>
      </c>
      <c r="H52" s="201"/>
      <c r="I52" s="434">
        <f>M80</f>
        <v>815000</v>
      </c>
      <c r="J52" s="18"/>
      <c r="K52" s="205"/>
      <c r="L52" s="212" t="s">
        <v>77</v>
      </c>
      <c r="M52" s="223">
        <v>6000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15345926.408880888</v>
      </c>
      <c r="T52" s="252">
        <f>$V$4</f>
        <v>2000000</v>
      </c>
      <c r="U52" s="254">
        <f t="shared" si="4"/>
        <v>543278.75747536472</v>
      </c>
      <c r="V52" s="254">
        <f t="shared" si="5"/>
        <v>463767.41250000038</v>
      </c>
      <c r="W52" s="252">
        <f t="shared" si="6"/>
        <v>8783000</v>
      </c>
      <c r="X52" s="252">
        <f t="shared" si="2"/>
        <v>2000000</v>
      </c>
      <c r="Y52" s="252">
        <f t="shared" si="1"/>
        <v>9569972.5788562559</v>
      </c>
      <c r="Z52" s="255"/>
      <c r="AA52" s="256"/>
      <c r="AB52" s="256"/>
      <c r="AC52" s="256"/>
    </row>
    <row r="53" spans="2:29" s="17" customFormat="1" ht="45" x14ac:dyDescent="0.45">
      <c r="B53" s="406" t="s">
        <v>249</v>
      </c>
      <c r="C53" s="366"/>
      <c r="D53" s="438">
        <f t="shared" si="9"/>
        <v>0</v>
      </c>
      <c r="E53" s="433">
        <f t="shared" si="10"/>
        <v>0</v>
      </c>
      <c r="F53" s="366"/>
      <c r="G53" s="406" t="s">
        <v>246</v>
      </c>
      <c r="H53" s="201"/>
      <c r="I53" s="434">
        <f>M81</f>
        <v>0</v>
      </c>
      <c r="K53" s="206"/>
      <c r="L53" s="212" t="s">
        <v>78</v>
      </c>
      <c r="M53" s="223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17435444.312932692</v>
      </c>
      <c r="T53" s="252"/>
      <c r="U53" s="254">
        <f t="shared" si="4"/>
        <v>557806.08045432612</v>
      </c>
      <c r="V53" s="254">
        <f t="shared" si="5"/>
        <v>473940.02166666707</v>
      </c>
      <c r="W53" s="252">
        <f t="shared" si="6"/>
        <v>10783000</v>
      </c>
      <c r="X53" s="252">
        <f t="shared" si="2"/>
        <v>0</v>
      </c>
      <c r="Y53" s="252">
        <f t="shared" si="1"/>
        <v>7684190.415053688</v>
      </c>
      <c r="Z53" s="255"/>
      <c r="AA53" s="256"/>
      <c r="AB53" s="256"/>
      <c r="AC53" s="256"/>
    </row>
    <row r="54" spans="2:29" s="17" customFormat="1" ht="45" x14ac:dyDescent="0.45">
      <c r="B54" s="406"/>
      <c r="C54" s="366"/>
      <c r="D54" s="438"/>
      <c r="E54" s="433"/>
      <c r="F54" s="366"/>
      <c r="G54" s="365"/>
      <c r="H54" s="201"/>
      <c r="I54" s="434"/>
      <c r="J54" s="18"/>
      <c r="K54" s="205"/>
      <c r="L54" s="212"/>
      <c r="M54" s="213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17537151.071424801</v>
      </c>
      <c r="T54" s="252"/>
      <c r="U54" s="254">
        <f t="shared" si="4"/>
        <v>572454.46445811214</v>
      </c>
      <c r="V54" s="254">
        <f t="shared" si="5"/>
        <v>484112.63083333377</v>
      </c>
      <c r="W54" s="252">
        <f t="shared" si="6"/>
        <v>10783000</v>
      </c>
      <c r="X54" s="252">
        <f t="shared" si="2"/>
        <v>0</v>
      </c>
      <c r="Y54" s="252">
        <f t="shared" si="1"/>
        <v>7810718.1667162478</v>
      </c>
      <c r="Z54" s="255"/>
      <c r="AA54" s="256"/>
      <c r="AB54" s="256"/>
      <c r="AC54" s="256"/>
    </row>
    <row r="55" spans="2:29" s="17" customFormat="1" ht="45" x14ac:dyDescent="0.45">
      <c r="B55" s="406"/>
      <c r="C55" s="438"/>
      <c r="D55" s="366"/>
      <c r="E55" s="407"/>
      <c r="F55" s="366"/>
      <c r="G55" s="365"/>
      <c r="H55" s="201"/>
      <c r="I55" s="384" t="s">
        <v>8</v>
      </c>
      <c r="J55" s="18"/>
      <c r="K55" s="205"/>
      <c r="L55" s="212" t="s">
        <v>79</v>
      </c>
      <c r="M55" s="223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17639451.119341444</v>
      </c>
      <c r="T55" s="252"/>
      <c r="U55" s="254">
        <f t="shared" si="4"/>
        <v>587224.9183285964</v>
      </c>
      <c r="V55" s="254">
        <f t="shared" si="5"/>
        <v>494285.24000000046</v>
      </c>
      <c r="W55" s="252">
        <f t="shared" si="6"/>
        <v>10783000</v>
      </c>
      <c r="X55" s="252">
        <f t="shared" si="2"/>
        <v>0</v>
      </c>
      <c r="Y55" s="252">
        <f t="shared" si="1"/>
        <v>7937961.2776700445</v>
      </c>
      <c r="Z55" s="255"/>
      <c r="AA55" s="256"/>
      <c r="AB55" s="256"/>
      <c r="AC55" s="256"/>
    </row>
    <row r="56" spans="2:29" s="17" customFormat="1" ht="46" thickBot="1" x14ac:dyDescent="0.5">
      <c r="B56" s="439" t="s">
        <v>156</v>
      </c>
      <c r="C56" s="201"/>
      <c r="D56" s="366"/>
      <c r="E56" s="440">
        <f>SUM(E38:E55)</f>
        <v>6961000</v>
      </c>
      <c r="F56" s="366"/>
      <c r="G56" s="441"/>
      <c r="H56" s="420"/>
      <c r="I56" s="442"/>
      <c r="J56" s="18"/>
      <c r="K56" s="205"/>
      <c r="L56" s="212" t="s">
        <v>80</v>
      </c>
      <c r="M56" s="22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17742347.917537604</v>
      </c>
      <c r="T56" s="252"/>
      <c r="U56" s="254">
        <f t="shared" si="4"/>
        <v>602118.45931466797</v>
      </c>
      <c r="V56" s="254">
        <f t="shared" si="5"/>
        <v>504457.84916666715</v>
      </c>
      <c r="W56" s="252">
        <f t="shared" si="6"/>
        <v>10783000</v>
      </c>
      <c r="X56" s="252">
        <f t="shared" si="2"/>
        <v>0</v>
      </c>
      <c r="Y56" s="252">
        <f t="shared" si="1"/>
        <v>8065924.2260189392</v>
      </c>
      <c r="Z56" s="255"/>
      <c r="AA56" s="256"/>
      <c r="AB56" s="256"/>
      <c r="AC56" s="256"/>
    </row>
    <row r="57" spans="2:29" ht="60" thickBot="1" x14ac:dyDescent="0.6">
      <c r="B57" s="556" t="s">
        <v>60</v>
      </c>
      <c r="C57" s="557"/>
      <c r="D57" s="557"/>
      <c r="E57" s="558">
        <f>SUM(E56-E46-E45)</f>
        <v>6541000</v>
      </c>
      <c r="F57" s="416"/>
      <c r="G57" s="553" t="s">
        <v>59</v>
      </c>
      <c r="H57" s="554"/>
      <c r="I57" s="555">
        <f>SUM(I38:I56)</f>
        <v>2783000</v>
      </c>
      <c r="K57" s="205"/>
      <c r="L57" s="212" t="s">
        <v>81</v>
      </c>
      <c r="M57" s="223"/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17845844.947056573</v>
      </c>
      <c r="T57" s="252"/>
      <c r="U57" s="254">
        <f t="shared" si="4"/>
        <v>617136.11314229015</v>
      </c>
      <c r="V57" s="254">
        <f t="shared" si="5"/>
        <v>514630.45833333384</v>
      </c>
      <c r="W57" s="252">
        <f t="shared" si="6"/>
        <v>10783000</v>
      </c>
      <c r="X57" s="252">
        <f t="shared" si="2"/>
        <v>0</v>
      </c>
      <c r="Y57" s="252">
        <f t="shared" si="1"/>
        <v>8194611.5185321942</v>
      </c>
      <c r="Z57" s="255"/>
      <c r="AA57" s="255"/>
      <c r="AB57" s="255"/>
      <c r="AC57" s="255"/>
    </row>
    <row r="58" spans="2:29" ht="45" x14ac:dyDescent="0.45">
      <c r="B58" s="489"/>
      <c r="C58" s="490"/>
      <c r="D58" s="564" t="s">
        <v>194</v>
      </c>
      <c r="E58" s="565" t="s">
        <v>290</v>
      </c>
      <c r="F58" s="492"/>
      <c r="G58" s="489"/>
      <c r="H58" s="493"/>
      <c r="I58" s="491"/>
      <c r="K58" s="205"/>
      <c r="L58" s="212"/>
      <c r="M58" s="213"/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17949945.709247738</v>
      </c>
      <c r="T58" s="252"/>
      <c r="U58" s="254">
        <f t="shared" si="4"/>
        <v>632278.91408514255</v>
      </c>
      <c r="V58" s="254">
        <f t="shared" si="5"/>
        <v>524803.06750000047</v>
      </c>
      <c r="W58" s="252">
        <f t="shared" si="6"/>
        <v>10783000</v>
      </c>
      <c r="X58" s="252">
        <f t="shared" si="2"/>
        <v>0</v>
      </c>
      <c r="Y58" s="252">
        <f t="shared" si="1"/>
        <v>8324027.6908328794</v>
      </c>
      <c r="Z58" s="255"/>
      <c r="AA58" s="255"/>
      <c r="AB58" s="255"/>
      <c r="AC58" s="255"/>
    </row>
    <row r="59" spans="2:29" s="17" customFormat="1" ht="45" x14ac:dyDescent="0.45">
      <c r="B59" s="380" t="s">
        <v>288</v>
      </c>
      <c r="C59" s="380"/>
      <c r="D59" s="566">
        <f>E59/12</f>
        <v>8660.2954166666659</v>
      </c>
      <c r="E59" s="565">
        <f>(12*SUM(D14:D18)-SUM(D22:D27))</f>
        <v>103923.545</v>
      </c>
      <c r="F59" s="492"/>
      <c r="G59" s="489"/>
      <c r="H59" s="493"/>
      <c r="I59" s="491"/>
      <c r="J59" s="18"/>
      <c r="K59" s="205"/>
      <c r="L59" s="212" t="s">
        <v>65</v>
      </c>
      <c r="M59" s="223">
        <v>220000</v>
      </c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18054653.725885019</v>
      </c>
      <c r="T59" s="252"/>
      <c r="U59" s="254">
        <f t="shared" si="4"/>
        <v>647547.90503585211</v>
      </c>
      <c r="V59" s="254">
        <f t="shared" si="5"/>
        <v>534975.6766666671</v>
      </c>
      <c r="W59" s="252">
        <f t="shared" si="6"/>
        <v>10783000</v>
      </c>
      <c r="X59" s="252">
        <f t="shared" si="2"/>
        <v>0</v>
      </c>
      <c r="Y59" s="252">
        <f t="shared" si="1"/>
        <v>8454177.3075875379</v>
      </c>
      <c r="Z59" s="255"/>
      <c r="AA59" s="256"/>
      <c r="AB59" s="256"/>
      <c r="AC59" s="256"/>
    </row>
    <row r="60" spans="2:29" s="17" customFormat="1" ht="46" thickBot="1" x14ac:dyDescent="0.5">
      <c r="B60" s="380" t="s">
        <v>289</v>
      </c>
      <c r="C60" s="18"/>
      <c r="D60" s="566">
        <f>E60/12</f>
        <v>3464.1181666666671</v>
      </c>
      <c r="E60" s="566">
        <f>E59*0.4</f>
        <v>41569.418000000005</v>
      </c>
      <c r="F60" s="416"/>
      <c r="G60" s="416"/>
      <c r="H60" s="416"/>
      <c r="I60" s="416"/>
      <c r="J60" s="18"/>
      <c r="K60" s="205"/>
      <c r="L60" s="212" t="s">
        <v>66</v>
      </c>
      <c r="M60" s="223">
        <v>200000</v>
      </c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18159972.539286014</v>
      </c>
      <c r="T60" s="252"/>
      <c r="U60" s="254">
        <f t="shared" si="4"/>
        <v>662944.13757781754</v>
      </c>
      <c r="V60" s="254">
        <f t="shared" si="5"/>
        <v>545148.28583333374</v>
      </c>
      <c r="W60" s="252">
        <f t="shared" si="6"/>
        <v>10783000</v>
      </c>
      <c r="X60" s="252">
        <f t="shared" si="2"/>
        <v>0</v>
      </c>
      <c r="Y60" s="252">
        <f t="shared" si="1"/>
        <v>8585064.9626971632</v>
      </c>
      <c r="Z60" s="255"/>
      <c r="AA60" s="256"/>
      <c r="AB60" s="256"/>
      <c r="AC60" s="256"/>
    </row>
    <row r="61" spans="2:29" s="17" customFormat="1" ht="59" x14ac:dyDescent="0.35">
      <c r="B61" s="631" t="s">
        <v>104</v>
      </c>
      <c r="C61" s="632"/>
      <c r="D61" s="632"/>
      <c r="E61" s="632"/>
      <c r="F61" s="632"/>
      <c r="G61" s="632"/>
      <c r="H61" s="632"/>
      <c r="I61" s="633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18265905.712431848</v>
      </c>
      <c r="T61" s="252"/>
      <c r="U61" s="254">
        <f t="shared" si="4"/>
        <v>678468.67205763271</v>
      </c>
      <c r="V61" s="254">
        <f t="shared" si="5"/>
        <v>555320.89500000037</v>
      </c>
      <c r="W61" s="252">
        <f t="shared" si="6"/>
        <v>10783000</v>
      </c>
      <c r="X61" s="252">
        <f t="shared" si="2"/>
        <v>0</v>
      </c>
      <c r="Y61" s="252">
        <f t="shared" si="1"/>
        <v>8716695.27948948</v>
      </c>
      <c r="Z61" s="255"/>
      <c r="AA61" s="256"/>
      <c r="AB61" s="256"/>
      <c r="AC61" s="256"/>
    </row>
    <row r="62" spans="2:29" s="17" customFormat="1" ht="45" x14ac:dyDescent="0.45">
      <c r="B62" s="449"/>
      <c r="C62" s="381"/>
      <c r="D62" s="381"/>
      <c r="E62" s="381"/>
      <c r="F62" s="381"/>
      <c r="G62" s="381"/>
      <c r="H62" s="381"/>
      <c r="I62" s="450"/>
      <c r="J62" s="18"/>
      <c r="K62" s="205"/>
      <c r="L62" s="212" t="s">
        <v>82</v>
      </c>
      <c r="M62" s="223">
        <v>4450000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18372456.829087701</v>
      </c>
      <c r="T62" s="252"/>
      <c r="U62" s="254">
        <f t="shared" si="4"/>
        <v>694122.57765811298</v>
      </c>
      <c r="V62" s="254">
        <f t="shared" si="5"/>
        <v>565493.504166667</v>
      </c>
      <c r="W62" s="252">
        <f t="shared" si="6"/>
        <v>10783000</v>
      </c>
      <c r="X62" s="252">
        <f t="shared" si="2"/>
        <v>0</v>
      </c>
      <c r="Y62" s="252">
        <f t="shared" si="1"/>
        <v>8849072.9109124802</v>
      </c>
      <c r="Z62" s="255"/>
      <c r="AA62" s="256"/>
      <c r="AB62" s="256"/>
      <c r="AC62" s="256"/>
    </row>
    <row r="63" spans="2:29" s="17" customFormat="1" ht="45" x14ac:dyDescent="0.45">
      <c r="B63" s="451" t="s">
        <v>102</v>
      </c>
      <c r="C63" s="452"/>
      <c r="D63" s="381"/>
      <c r="E63" s="416"/>
      <c r="F63" s="380"/>
      <c r="G63" s="380" t="s">
        <v>103</v>
      </c>
      <c r="H63" s="452"/>
      <c r="I63" s="450"/>
      <c r="J63" s="18"/>
      <c r="K63" s="205"/>
      <c r="L63" s="212" t="s">
        <v>169</v>
      </c>
      <c r="M63" s="22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18479629.493924048</v>
      </c>
      <c r="T63" s="252"/>
      <c r="U63" s="254">
        <f t="shared" si="4"/>
        <v>709906.93247193052</v>
      </c>
      <c r="V63" s="254">
        <f t="shared" si="5"/>
        <v>575666.11333333363</v>
      </c>
      <c r="W63" s="252">
        <f t="shared" si="6"/>
        <v>10783000</v>
      </c>
      <c r="X63" s="252">
        <f t="shared" si="2"/>
        <v>0</v>
      </c>
      <c r="Y63" s="252">
        <f t="shared" si="1"/>
        <v>8982202.5397293121</v>
      </c>
      <c r="Z63" s="255"/>
      <c r="AA63" s="256"/>
      <c r="AB63" s="256"/>
      <c r="AC63" s="256"/>
    </row>
    <row r="64" spans="2:29" s="17" customFormat="1" ht="46" thickBot="1" x14ac:dyDescent="0.5">
      <c r="B64" s="453"/>
      <c r="C64" s="201"/>
      <c r="D64" s="381"/>
      <c r="E64" s="454"/>
      <c r="F64" s="381"/>
      <c r="G64" s="381"/>
      <c r="H64" s="370"/>
      <c r="I64" s="450"/>
      <c r="J64" s="18"/>
      <c r="K64" s="205"/>
      <c r="L64" s="212" t="s">
        <v>170</v>
      </c>
      <c r="M64" s="223">
        <v>580000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18587427.332638606</v>
      </c>
      <c r="T64" s="252">
        <f>$V$4</f>
        <v>2000000</v>
      </c>
      <c r="U64" s="254">
        <f t="shared" si="4"/>
        <v>725822.82357586327</v>
      </c>
      <c r="V64" s="254">
        <f t="shared" si="5"/>
        <v>585838.72250000027</v>
      </c>
      <c r="W64" s="252">
        <f t="shared" si="6"/>
        <v>10783000</v>
      </c>
      <c r="X64" s="252">
        <f t="shared" si="2"/>
        <v>2000000</v>
      </c>
      <c r="Y64" s="252">
        <f t="shared" si="1"/>
        <v>11116088.878714468</v>
      </c>
      <c r="Z64" s="255"/>
      <c r="AA64" s="256"/>
      <c r="AB64" s="256"/>
      <c r="AC64" s="256"/>
    </row>
    <row r="65" spans="2:29" s="17" customFormat="1" ht="60" thickBot="1" x14ac:dyDescent="0.5">
      <c r="B65" s="559" t="s">
        <v>160</v>
      </c>
      <c r="C65" s="560"/>
      <c r="D65" s="561">
        <f>E57-I57</f>
        <v>3758000</v>
      </c>
      <c r="E65" s="200"/>
      <c r="F65" s="201"/>
      <c r="G65" s="202" t="s">
        <v>158</v>
      </c>
      <c r="H65" s="203" t="s">
        <v>114</v>
      </c>
      <c r="I65" s="204">
        <f>I19-I32</f>
        <v>10172.609166666665</v>
      </c>
      <c r="J65" s="18"/>
      <c r="K65" s="205"/>
      <c r="L65" s="212" t="s">
        <v>214</v>
      </c>
      <c r="M65" s="223">
        <v>725000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20695853.992078997</v>
      </c>
      <c r="T65" s="252"/>
      <c r="U65" s="254">
        <f t="shared" si="4"/>
        <v>741871.34710566211</v>
      </c>
      <c r="V65" s="254">
        <f t="shared" si="5"/>
        <v>596011.3316666669</v>
      </c>
      <c r="W65" s="252">
        <f t="shared" si="6"/>
        <v>12783000</v>
      </c>
      <c r="X65" s="252">
        <f t="shared" si="2"/>
        <v>0</v>
      </c>
      <c r="Y65" s="252">
        <f t="shared" si="1"/>
        <v>9250736.6708513275</v>
      </c>
      <c r="Z65" s="255"/>
      <c r="AA65" s="256"/>
      <c r="AB65" s="256"/>
      <c r="AC65" s="256"/>
    </row>
    <row r="66" spans="2:29" ht="45" x14ac:dyDescent="0.45">
      <c r="B66" s="455" t="s">
        <v>281</v>
      </c>
      <c r="C66" s="456"/>
      <c r="D66" s="452"/>
      <c r="E66" s="456"/>
      <c r="F66" s="366"/>
      <c r="G66" s="452"/>
      <c r="H66" s="456"/>
      <c r="I66" s="457"/>
      <c r="K66" s="205"/>
      <c r="L66" s="212" t="s">
        <v>241</v>
      </c>
      <c r="M66" s="223">
        <v>780000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20816579.80703279</v>
      </c>
      <c r="T66" s="252"/>
      <c r="U66" s="254">
        <f t="shared" si="4"/>
        <v>758053.60833154258</v>
      </c>
      <c r="V66" s="254">
        <f t="shared" si="5"/>
        <v>606183.94083333353</v>
      </c>
      <c r="W66" s="252">
        <f t="shared" si="6"/>
        <v>12783000</v>
      </c>
      <c r="X66" s="252">
        <f t="shared" si="2"/>
        <v>0</v>
      </c>
      <c r="Y66" s="252">
        <f t="shared" si="1"/>
        <v>9397817.3561976664</v>
      </c>
      <c r="Z66" s="255"/>
      <c r="AA66" s="255"/>
      <c r="AB66" s="255"/>
      <c r="AC66" s="255"/>
    </row>
    <row r="67" spans="2:29" ht="46" thickBot="1" x14ac:dyDescent="0.5">
      <c r="B67" s="458" t="s">
        <v>159</v>
      </c>
      <c r="C67" s="459"/>
      <c r="D67" s="460">
        <f>E56-I57</f>
        <v>4178000</v>
      </c>
      <c r="E67" s="459"/>
      <c r="F67" s="366"/>
      <c r="G67" s="461" t="s">
        <v>113</v>
      </c>
      <c r="H67" s="461" t="s">
        <v>115</v>
      </c>
      <c r="I67" s="462">
        <f>I65*12</f>
        <v>122071.30999999998</v>
      </c>
      <c r="K67" s="205"/>
      <c r="L67" s="214" t="s">
        <v>247</v>
      </c>
      <c r="M67" s="224"/>
      <c r="N67" s="205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5"/>
      <c r="AB67" s="255"/>
      <c r="AC67" s="255"/>
    </row>
    <row r="68" spans="2:29" ht="46" thickBot="1" x14ac:dyDescent="0.5">
      <c r="B68" s="458" t="s">
        <v>282</v>
      </c>
      <c r="C68" s="459"/>
      <c r="D68" s="460">
        <f>D65-D48</f>
        <v>308000</v>
      </c>
      <c r="E68" s="459"/>
      <c r="F68" s="366"/>
      <c r="G68" s="461"/>
      <c r="H68" s="461"/>
      <c r="I68" s="462"/>
      <c r="K68" s="205"/>
      <c r="L68" s="206"/>
      <c r="M68" s="206"/>
      <c r="N68" s="205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2:29" ht="45" x14ac:dyDescent="0.45">
      <c r="B69" s="455"/>
      <c r="C69" s="201"/>
      <c r="D69" s="452"/>
      <c r="E69" s="452"/>
      <c r="F69" s="201"/>
      <c r="G69" s="381"/>
      <c r="H69" s="452"/>
      <c r="I69" s="471">
        <f>I67*0.07</f>
        <v>8544.9917000000005</v>
      </c>
      <c r="K69" s="205"/>
      <c r="L69" s="241" t="s">
        <v>87</v>
      </c>
      <c r="M69" s="243"/>
      <c r="N69" s="205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2:29" ht="45" x14ac:dyDescent="0.45">
      <c r="B70" s="451" t="s">
        <v>106</v>
      </c>
      <c r="C70" s="201"/>
      <c r="D70" s="452"/>
      <c r="E70" s="452"/>
      <c r="F70" s="201"/>
      <c r="G70" s="380" t="s">
        <v>1</v>
      </c>
      <c r="H70" s="452"/>
      <c r="I70" s="457"/>
      <c r="K70" s="205"/>
      <c r="L70" s="212" t="s">
        <v>44</v>
      </c>
      <c r="M70" s="223">
        <v>2000</v>
      </c>
      <c r="N70" s="205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2:29" ht="45" x14ac:dyDescent="0.45">
      <c r="B71" s="406"/>
      <c r="C71" s="201"/>
      <c r="D71" s="366"/>
      <c r="E71" s="452"/>
      <c r="F71" s="201"/>
      <c r="G71" s="366"/>
      <c r="H71" s="452"/>
      <c r="I71" s="457"/>
      <c r="K71" s="205"/>
      <c r="L71" s="212" t="s">
        <v>45</v>
      </c>
      <c r="M71" s="223">
        <v>3000</v>
      </c>
      <c r="N71" s="205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2:29" ht="45" x14ac:dyDescent="0.45">
      <c r="B72" s="463" t="s">
        <v>105</v>
      </c>
      <c r="C72" s="464"/>
      <c r="D72" s="465">
        <f>SUM(I48:I54)</f>
        <v>2771000</v>
      </c>
      <c r="E72" s="464"/>
      <c r="F72" s="201"/>
      <c r="G72" s="195" t="s">
        <v>1</v>
      </c>
      <c r="H72" s="195" t="s">
        <v>114</v>
      </c>
      <c r="I72" s="196">
        <f>H5</f>
        <v>10863</v>
      </c>
      <c r="K72" s="205"/>
      <c r="L72" s="212" t="s">
        <v>62</v>
      </c>
      <c r="M72" s="213"/>
      <c r="N72" s="205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2:29" ht="45" x14ac:dyDescent="0.45">
      <c r="B73" s="466"/>
      <c r="C73" s="464"/>
      <c r="D73" s="467"/>
      <c r="E73" s="464"/>
      <c r="F73" s="201"/>
      <c r="G73" s="366"/>
      <c r="H73" s="456"/>
      <c r="I73" s="407"/>
      <c r="K73" s="205"/>
      <c r="L73" s="212" t="s">
        <v>61</v>
      </c>
      <c r="M73" s="213"/>
      <c r="N73" s="205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2:29" ht="45" x14ac:dyDescent="0.45">
      <c r="B74" s="463" t="s">
        <v>100</v>
      </c>
      <c r="C74" s="464"/>
      <c r="D74" s="465">
        <f>SUM(E48:E54)</f>
        <v>6535000</v>
      </c>
      <c r="E74" s="464"/>
      <c r="F74" s="201"/>
      <c r="G74" s="195" t="s">
        <v>251</v>
      </c>
      <c r="H74" s="195" t="s">
        <v>114</v>
      </c>
      <c r="I74" s="196">
        <f>I32-H5</f>
        <v>12827.390833333335</v>
      </c>
      <c r="K74" s="205"/>
      <c r="L74" s="212"/>
      <c r="M74" s="213"/>
      <c r="N74" s="205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2:29" ht="45" x14ac:dyDescent="0.45">
      <c r="B75" s="466"/>
      <c r="C75" s="464"/>
      <c r="D75" s="467"/>
      <c r="E75" s="464"/>
      <c r="F75" s="201"/>
      <c r="G75" s="456"/>
      <c r="H75" s="195" t="s">
        <v>115</v>
      </c>
      <c r="I75" s="196">
        <f>I74*12</f>
        <v>153928.69</v>
      </c>
      <c r="K75" s="205"/>
      <c r="L75" s="212" t="s">
        <v>85</v>
      </c>
      <c r="M75" s="223">
        <v>1000000</v>
      </c>
      <c r="N75" s="205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2:29" ht="45" x14ac:dyDescent="0.45">
      <c r="B76" s="463" t="s">
        <v>101</v>
      </c>
      <c r="C76" s="464"/>
      <c r="D76" s="469">
        <f>SUM(D48:D53)</f>
        <v>3764000</v>
      </c>
      <c r="E76" s="464"/>
      <c r="F76" s="366"/>
      <c r="G76" s="195" t="s">
        <v>125</v>
      </c>
      <c r="H76" s="195"/>
      <c r="I76" s="196">
        <f>I74*12/0.065</f>
        <v>2368133.6923076925</v>
      </c>
      <c r="K76" s="205"/>
      <c r="L76" s="220"/>
      <c r="M76" s="213"/>
      <c r="N76" s="205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2:29" ht="45" x14ac:dyDescent="0.45">
      <c r="B77" s="470"/>
      <c r="C77" s="464"/>
      <c r="D77" s="469"/>
      <c r="E77" s="464"/>
      <c r="F77" s="366"/>
      <c r="G77" s="380" t="s">
        <v>280</v>
      </c>
      <c r="H77" s="452"/>
      <c r="I77" s="471"/>
      <c r="K77" s="205"/>
      <c r="L77" s="212" t="s">
        <v>223</v>
      </c>
      <c r="M77" s="223"/>
      <c r="N77" s="205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2:29" ht="45" x14ac:dyDescent="0.45">
      <c r="B78" s="463" t="s">
        <v>29</v>
      </c>
      <c r="C78" s="464"/>
      <c r="D78" s="472">
        <f>D72/D74</f>
        <v>0.42402448355011474</v>
      </c>
      <c r="E78" s="464"/>
      <c r="F78" s="366"/>
      <c r="G78" s="366"/>
      <c r="H78" s="452"/>
      <c r="I78" s="473"/>
      <c r="K78" s="205"/>
      <c r="L78" s="212" t="s">
        <v>224</v>
      </c>
      <c r="M78" s="223">
        <v>200000</v>
      </c>
      <c r="N78" s="205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2:29" ht="45" x14ac:dyDescent="0.45">
      <c r="B79" s="463"/>
      <c r="C79" s="464"/>
      <c r="D79" s="474"/>
      <c r="E79" s="464"/>
      <c r="F79" s="366"/>
      <c r="I79" s="473"/>
      <c r="K79" s="205"/>
      <c r="L79" s="212" t="s">
        <v>225</v>
      </c>
      <c r="M79" s="223">
        <v>756000</v>
      </c>
      <c r="N79" s="205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2:29" ht="45" x14ac:dyDescent="0.45">
      <c r="B80" s="463" t="s">
        <v>121</v>
      </c>
      <c r="C80" s="464"/>
      <c r="D80" s="469">
        <f>(80%-D78)*D74</f>
        <v>2457000.0000000005</v>
      </c>
      <c r="E80" s="464"/>
      <c r="F80" s="366"/>
      <c r="G80" s="380" t="s">
        <v>116</v>
      </c>
      <c r="H80" s="452"/>
      <c r="I80" s="407"/>
      <c r="K80" s="205"/>
      <c r="L80" s="212" t="s">
        <v>240</v>
      </c>
      <c r="M80" s="223">
        <v>815000</v>
      </c>
      <c r="N80" s="205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2:26" ht="45" x14ac:dyDescent="0.45">
      <c r="B81" s="463"/>
      <c r="C81" s="464"/>
      <c r="D81" s="474"/>
      <c r="E81" s="464"/>
      <c r="F81" s="366"/>
      <c r="G81" s="380"/>
      <c r="H81" s="452"/>
      <c r="I81" s="407"/>
      <c r="K81" s="205"/>
      <c r="L81" s="212" t="s">
        <v>246</v>
      </c>
      <c r="M81" s="223"/>
      <c r="N81" s="205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2:26" ht="47" x14ac:dyDescent="0.45">
      <c r="B82" s="463" t="s">
        <v>283</v>
      </c>
      <c r="C82" s="464"/>
      <c r="D82" s="562">
        <f>D80/0.2</f>
        <v>12285000.000000002</v>
      </c>
      <c r="E82" s="464"/>
      <c r="F82" s="366"/>
      <c r="G82" s="475" t="s">
        <v>162</v>
      </c>
      <c r="H82" s="476"/>
      <c r="I82" s="477">
        <f>SUM(E38:E39)</f>
        <v>6000</v>
      </c>
      <c r="K82" s="205"/>
      <c r="L82" s="212"/>
      <c r="M82" s="223"/>
      <c r="N82" s="205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2:26" ht="46" thickBot="1" x14ac:dyDescent="0.5">
      <c r="B83" s="451"/>
      <c r="C83" s="366"/>
      <c r="D83" s="366"/>
      <c r="E83" s="452"/>
      <c r="F83" s="366"/>
      <c r="G83" s="475" t="s">
        <v>163</v>
      </c>
      <c r="H83" s="475"/>
      <c r="I83" s="477">
        <f>SUM(E41:E43)</f>
        <v>0</v>
      </c>
      <c r="K83" s="205"/>
      <c r="L83" s="221"/>
      <c r="M83" s="222"/>
      <c r="N83" s="205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2:26" ht="45" x14ac:dyDescent="0.45">
      <c r="B84" s="451" t="s">
        <v>111</v>
      </c>
      <c r="C84" s="366"/>
      <c r="D84" s="366"/>
      <c r="E84" s="452"/>
      <c r="F84" s="366"/>
      <c r="G84" s="464" t="s">
        <v>154</v>
      </c>
      <c r="H84" s="464"/>
      <c r="I84" s="478">
        <f>SUM(I82:I83)</f>
        <v>6000</v>
      </c>
      <c r="K84" s="205"/>
      <c r="L84" s="206"/>
      <c r="M84" s="205"/>
      <c r="N84" s="205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2:26" ht="45" x14ac:dyDescent="0.45">
      <c r="B85" s="406"/>
      <c r="C85" s="366"/>
      <c r="D85" s="366"/>
      <c r="E85" s="452"/>
      <c r="F85" s="366"/>
      <c r="G85" s="366"/>
      <c r="H85" s="452"/>
      <c r="I85" s="407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2:26" ht="45" x14ac:dyDescent="0.45">
      <c r="B86" s="479" t="s">
        <v>128</v>
      </c>
      <c r="C86" s="480"/>
      <c r="D86" s="481">
        <f>D89-D72</f>
        <v>-1384641.2783074856</v>
      </c>
      <c r="E86" s="480"/>
      <c r="F86" s="366"/>
      <c r="G86" s="380" t="s">
        <v>127</v>
      </c>
      <c r="H86" s="452"/>
      <c r="I86" s="407"/>
      <c r="L86" s="119" t="s">
        <v>284</v>
      </c>
      <c r="M86" s="120">
        <v>2100000</v>
      </c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2:26" ht="45" x14ac:dyDescent="0.45">
      <c r="B87" s="451" t="s">
        <v>112</v>
      </c>
      <c r="C87" s="366"/>
      <c r="D87" s="366"/>
      <c r="E87" s="452"/>
      <c r="F87" s="366"/>
      <c r="G87" s="201"/>
      <c r="H87" s="452"/>
      <c r="I87" s="407"/>
      <c r="L87" s="119" t="s">
        <v>285</v>
      </c>
      <c r="M87" s="120">
        <v>451000</v>
      </c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2:26" ht="45" x14ac:dyDescent="0.45">
      <c r="B88" s="451"/>
      <c r="C88" s="366"/>
      <c r="D88" s="366"/>
      <c r="E88" s="380"/>
      <c r="F88" s="366"/>
      <c r="G88" s="482" t="s">
        <v>165</v>
      </c>
      <c r="H88" s="482"/>
      <c r="I88" s="483">
        <f>SUM(E38:E43)/(I32-H5)</f>
        <v>0.46774905964573593</v>
      </c>
      <c r="L88" s="119" t="s">
        <v>286</v>
      </c>
      <c r="M88" s="120" t="s">
        <v>293</v>
      </c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2:26" ht="45" x14ac:dyDescent="0.45">
      <c r="B89" s="479" t="s">
        <v>117</v>
      </c>
      <c r="C89" s="480"/>
      <c r="D89" s="481">
        <f>PV(8%/12,30*12,H24,0)*-1</f>
        <v>1386358.7216925144</v>
      </c>
      <c r="E89" s="480"/>
      <c r="F89" s="366"/>
      <c r="G89" s="482" t="s">
        <v>166</v>
      </c>
      <c r="H89" s="482"/>
      <c r="I89" s="483">
        <f>SUM(E38:E43)/(I32-H5)/12</f>
        <v>3.8979088303811325E-2</v>
      </c>
      <c r="L89" s="119" t="s">
        <v>292</v>
      </c>
      <c r="M89" s="120">
        <v>1500000</v>
      </c>
    </row>
    <row r="90" spans="2:26" ht="45" x14ac:dyDescent="0.45">
      <c r="B90" s="451" t="s">
        <v>153</v>
      </c>
      <c r="C90" s="366"/>
      <c r="D90" s="452"/>
      <c r="E90" s="380"/>
      <c r="F90" s="366"/>
      <c r="G90" s="482" t="s">
        <v>161</v>
      </c>
      <c r="H90" s="482"/>
      <c r="I90" s="483">
        <f>H24/(I32-H5)</f>
        <v>0.79303806197532101</v>
      </c>
      <c r="L90" s="119" t="s">
        <v>287</v>
      </c>
      <c r="M90" s="120">
        <v>200000</v>
      </c>
    </row>
    <row r="91" spans="2:26" ht="35" customHeight="1" thickBot="1" x14ac:dyDescent="0.5">
      <c r="B91" s="484"/>
      <c r="C91" s="485"/>
      <c r="D91" s="486"/>
      <c r="E91" s="487"/>
      <c r="F91" s="485"/>
      <c r="G91" s="485"/>
      <c r="H91" s="485"/>
      <c r="I91" s="488"/>
      <c r="L91" s="119" t="s">
        <v>291</v>
      </c>
      <c r="M91" s="120">
        <v>400000</v>
      </c>
    </row>
    <row r="92" spans="2:26" ht="35" customHeight="1" x14ac:dyDescent="0.35">
      <c r="D92" s="99"/>
      <c r="E92" s="22"/>
      <c r="L92" s="247"/>
      <c r="M92" s="120">
        <f>SUM(M86:M91)</f>
        <v>4651000</v>
      </c>
    </row>
    <row r="93" spans="2:26" ht="35" customHeight="1" x14ac:dyDescent="0.35">
      <c r="B93" s="380" t="s">
        <v>288</v>
      </c>
      <c r="C93" s="380" t="s">
        <v>288</v>
      </c>
      <c r="D93" s="99"/>
      <c r="E93" s="98"/>
      <c r="F93" s="99"/>
      <c r="G93" s="99"/>
      <c r="H93" s="99"/>
      <c r="L93" s="246"/>
      <c r="M93" s="248"/>
    </row>
    <row r="94" spans="2:26" ht="35" customHeight="1" x14ac:dyDescent="0.35">
      <c r="D94" s="99"/>
      <c r="E94" s="98"/>
      <c r="F94" s="99"/>
      <c r="G94" s="99"/>
      <c r="H94" s="99"/>
      <c r="L94" s="246"/>
      <c r="M94" s="119"/>
    </row>
    <row r="95" spans="2:26" ht="35" x14ac:dyDescent="0.35">
      <c r="B95" s="270"/>
      <c r="C95" s="270"/>
      <c r="D95" s="273"/>
      <c r="E95" s="270"/>
      <c r="F95" s="271"/>
      <c r="G95" s="271"/>
      <c r="H95" s="271"/>
      <c r="L95" s="119"/>
      <c r="M95" s="120"/>
    </row>
    <row r="96" spans="2:26" ht="35" x14ac:dyDescent="0.35">
      <c r="B96" s="277" t="s">
        <v>197</v>
      </c>
      <c r="C96" s="278"/>
      <c r="D96" s="279"/>
      <c r="E96" s="289"/>
      <c r="F96" s="271"/>
      <c r="G96" s="275" t="s">
        <v>209</v>
      </c>
      <c r="H96" s="271"/>
      <c r="L96" s="119"/>
      <c r="M96" s="120"/>
    </row>
    <row r="97" spans="2:13" ht="35" x14ac:dyDescent="0.35">
      <c r="B97" s="270" t="s">
        <v>189</v>
      </c>
      <c r="C97" s="270"/>
      <c r="D97" s="273">
        <v>0</v>
      </c>
      <c r="E97" s="270"/>
      <c r="F97" s="271"/>
      <c r="G97" s="276">
        <f>D124</f>
        <v>88055.23</v>
      </c>
      <c r="H97" s="271"/>
      <c r="L97" s="119"/>
      <c r="M97" s="120"/>
    </row>
    <row r="98" spans="2:13" ht="35" x14ac:dyDescent="0.35">
      <c r="B98" s="270" t="s">
        <v>226</v>
      </c>
      <c r="C98" s="270"/>
      <c r="D98" s="273">
        <f>M42</f>
        <v>875.73250000000007</v>
      </c>
      <c r="E98" s="270"/>
      <c r="F98" s="271"/>
      <c r="G98" s="271"/>
      <c r="H98" s="271"/>
      <c r="L98" s="119"/>
      <c r="M98" s="120"/>
    </row>
    <row r="99" spans="2:13" ht="35" x14ac:dyDescent="0.35">
      <c r="B99" s="270" t="s">
        <v>190</v>
      </c>
      <c r="C99" s="270"/>
      <c r="D99" s="273">
        <f>M43</f>
        <v>2120</v>
      </c>
      <c r="E99" s="270"/>
      <c r="F99" s="271"/>
      <c r="G99" s="275" t="s">
        <v>210</v>
      </c>
      <c r="H99" s="271"/>
      <c r="L99" s="119"/>
      <c r="M99" s="120"/>
    </row>
    <row r="100" spans="2:13" ht="35" x14ac:dyDescent="0.35">
      <c r="B100" s="270" t="s">
        <v>191</v>
      </c>
      <c r="D100" s="273">
        <v>500</v>
      </c>
      <c r="G100" s="270" t="s">
        <v>178</v>
      </c>
      <c r="H100" s="273">
        <f>SUM(M52:M53)</f>
        <v>6000</v>
      </c>
      <c r="L100" s="119"/>
      <c r="M100" s="120"/>
    </row>
    <row r="101" spans="2:13" ht="35" x14ac:dyDescent="0.35">
      <c r="B101" s="270" t="s">
        <v>192</v>
      </c>
      <c r="D101" s="273">
        <v>500</v>
      </c>
      <c r="G101" s="270" t="s">
        <v>124</v>
      </c>
      <c r="H101" s="273">
        <f>SUM(M55:M57)</f>
        <v>0</v>
      </c>
      <c r="L101" s="119"/>
      <c r="M101" s="120"/>
    </row>
    <row r="102" spans="2:13" ht="35" x14ac:dyDescent="0.35">
      <c r="B102" s="270" t="s">
        <v>193</v>
      </c>
      <c r="C102" s="270"/>
      <c r="D102" s="273">
        <f>M45</f>
        <v>1514.7033333333331</v>
      </c>
      <c r="E102" s="270"/>
      <c r="F102" s="271"/>
      <c r="G102" s="270" t="s">
        <v>211</v>
      </c>
      <c r="H102" s="273">
        <f>SUM(D49:D53)</f>
        <v>314000</v>
      </c>
      <c r="I102" s="270" t="s">
        <v>212</v>
      </c>
      <c r="L102" s="119"/>
      <c r="M102" s="120"/>
    </row>
    <row r="103" spans="2:13" ht="35" x14ac:dyDescent="0.35">
      <c r="B103" s="270"/>
      <c r="C103" s="270"/>
      <c r="D103" s="273"/>
      <c r="E103" s="270"/>
      <c r="F103" s="271"/>
      <c r="G103" s="270"/>
      <c r="H103" s="273"/>
      <c r="L103" s="119"/>
      <c r="M103" s="120"/>
    </row>
    <row r="104" spans="2:13" ht="35" x14ac:dyDescent="0.35">
      <c r="B104" s="270"/>
      <c r="C104" s="270"/>
      <c r="D104" s="273"/>
      <c r="E104" s="270"/>
      <c r="F104" s="271"/>
      <c r="G104" s="272" t="s">
        <v>215</v>
      </c>
      <c r="H104" s="274">
        <f>SUM(H100:H103)</f>
        <v>320000</v>
      </c>
      <c r="I104" s="270">
        <f>H104*0.075</f>
        <v>24000</v>
      </c>
      <c r="L104" s="119"/>
      <c r="M104" s="120"/>
    </row>
    <row r="105" spans="2:13" ht="35" x14ac:dyDescent="0.35">
      <c r="B105" s="270" t="s">
        <v>194</v>
      </c>
      <c r="C105" s="270"/>
      <c r="D105" s="273">
        <f>SUM(D97:D104)</f>
        <v>5510.435833333333</v>
      </c>
      <c r="E105" s="270"/>
      <c r="F105" s="271"/>
      <c r="G105" s="272" t="s">
        <v>232</v>
      </c>
      <c r="H105" s="273"/>
      <c r="L105" s="119"/>
    </row>
    <row r="106" spans="2:13" ht="35" x14ac:dyDescent="0.35">
      <c r="B106" s="270" t="s">
        <v>195</v>
      </c>
      <c r="C106" s="270"/>
      <c r="D106" s="273">
        <f>D105*12</f>
        <v>66125.23</v>
      </c>
      <c r="E106" s="270"/>
      <c r="F106" s="271"/>
      <c r="G106" s="270"/>
      <c r="H106" s="273"/>
      <c r="L106" s="119"/>
    </row>
    <row r="107" spans="2:13" ht="35" x14ac:dyDescent="0.35">
      <c r="B107" s="272" t="s">
        <v>196</v>
      </c>
      <c r="C107" s="272"/>
      <c r="D107" s="274">
        <f>D106/0.06</f>
        <v>1102087.1666666667</v>
      </c>
      <c r="E107" s="270"/>
      <c r="F107" s="271"/>
      <c r="G107" s="271"/>
      <c r="H107" s="271"/>
    </row>
    <row r="108" spans="2:13" ht="35" x14ac:dyDescent="0.35">
      <c r="B108" s="270"/>
      <c r="C108" s="270"/>
      <c r="D108" s="273"/>
      <c r="E108" s="270"/>
      <c r="F108" s="271"/>
      <c r="G108" s="271"/>
      <c r="H108" s="271"/>
    </row>
    <row r="109" spans="2:13" ht="35" x14ac:dyDescent="0.35">
      <c r="B109" s="280" t="s">
        <v>198</v>
      </c>
      <c r="C109" s="281"/>
      <c r="D109" s="282"/>
      <c r="E109" s="289"/>
      <c r="F109" s="271"/>
      <c r="G109" s="271"/>
      <c r="H109" s="271"/>
    </row>
    <row r="110" spans="2:13" ht="35" x14ac:dyDescent="0.35">
      <c r="B110" s="270" t="s">
        <v>227</v>
      </c>
      <c r="C110" s="270"/>
      <c r="D110" s="273">
        <f>M48/2</f>
        <v>550</v>
      </c>
      <c r="E110" s="270"/>
      <c r="F110" s="271"/>
      <c r="G110" s="271"/>
      <c r="H110" s="271"/>
    </row>
    <row r="111" spans="2:13" ht="35" x14ac:dyDescent="0.35">
      <c r="B111" s="270" t="s">
        <v>229</v>
      </c>
      <c r="D111" s="273">
        <f>M46/2</f>
        <v>550</v>
      </c>
      <c r="E111" s="270"/>
      <c r="F111" s="271"/>
      <c r="G111" s="271"/>
      <c r="H111" s="271"/>
    </row>
    <row r="112" spans="2:13" ht="35" x14ac:dyDescent="0.35">
      <c r="B112" s="270" t="s">
        <v>230</v>
      </c>
      <c r="D112" s="273">
        <f>M45/2</f>
        <v>757.35166666666657</v>
      </c>
      <c r="E112" s="270"/>
      <c r="F112" s="271"/>
      <c r="G112" s="271"/>
      <c r="H112" s="271"/>
    </row>
    <row r="113" spans="2:8" ht="35" x14ac:dyDescent="0.35">
      <c r="B113" s="270" t="s">
        <v>231</v>
      </c>
      <c r="C113" s="270"/>
      <c r="D113" s="273">
        <f>D105</f>
        <v>5510.435833333333</v>
      </c>
      <c r="E113" s="270"/>
      <c r="F113" s="271"/>
      <c r="G113" s="271"/>
      <c r="H113" s="271"/>
    </row>
    <row r="114" spans="2:8" ht="35" x14ac:dyDescent="0.35">
      <c r="B114" s="270"/>
      <c r="C114" s="270"/>
      <c r="D114" s="273"/>
      <c r="E114" s="270"/>
      <c r="F114" s="271"/>
      <c r="G114" s="271"/>
      <c r="H114" s="271"/>
    </row>
    <row r="115" spans="2:8" ht="35" x14ac:dyDescent="0.35">
      <c r="B115" s="270"/>
      <c r="C115" s="270"/>
      <c r="D115" s="273"/>
      <c r="E115" s="270"/>
      <c r="F115" s="271"/>
      <c r="G115" s="271"/>
      <c r="H115" s="271"/>
    </row>
    <row r="116" spans="2:8" ht="35" x14ac:dyDescent="0.35">
      <c r="B116" s="270" t="s">
        <v>194</v>
      </c>
      <c r="C116" s="270"/>
      <c r="D116" s="273">
        <f>SUM(D110:D114)</f>
        <v>7367.7874999999995</v>
      </c>
      <c r="E116" s="270"/>
      <c r="F116" s="271"/>
      <c r="G116" s="271"/>
      <c r="H116" s="271"/>
    </row>
    <row r="117" spans="2:8" ht="35" x14ac:dyDescent="0.35">
      <c r="B117" s="270" t="s">
        <v>195</v>
      </c>
      <c r="C117" s="270"/>
      <c r="D117" s="273">
        <f>D116*12</f>
        <v>88413.45</v>
      </c>
      <c r="E117" s="270"/>
      <c r="F117" s="271"/>
      <c r="G117" s="271"/>
      <c r="H117" s="271"/>
    </row>
    <row r="118" spans="2:8" ht="35" x14ac:dyDescent="0.35">
      <c r="B118" s="272" t="s">
        <v>204</v>
      </c>
      <c r="C118" s="272"/>
      <c r="D118" s="274">
        <f>D117/0.06</f>
        <v>1473557.5</v>
      </c>
      <c r="E118" s="270"/>
      <c r="F118" s="271"/>
      <c r="G118" s="271"/>
      <c r="H118" s="271"/>
    </row>
    <row r="119" spans="2:8" ht="35" x14ac:dyDescent="0.35">
      <c r="B119" s="270"/>
      <c r="C119" s="270"/>
      <c r="D119" s="273"/>
      <c r="E119" s="270"/>
      <c r="F119" s="271"/>
      <c r="G119" s="271"/>
      <c r="H119" s="271"/>
    </row>
    <row r="120" spans="2:8" ht="35" x14ac:dyDescent="0.35">
      <c r="B120" s="283" t="s">
        <v>199</v>
      </c>
      <c r="C120" s="284"/>
      <c r="D120" s="285"/>
      <c r="E120" s="289"/>
      <c r="F120" s="271"/>
      <c r="G120" s="271"/>
      <c r="H120" s="271"/>
    </row>
    <row r="121" spans="2:8" ht="35" x14ac:dyDescent="0.35">
      <c r="B121" s="270" t="s">
        <v>228</v>
      </c>
      <c r="C121" s="270"/>
      <c r="D121" s="273">
        <f>M40</f>
        <v>7337.935833333333</v>
      </c>
      <c r="E121" s="270"/>
      <c r="F121" s="271"/>
      <c r="G121" s="271"/>
      <c r="H121" s="271"/>
    </row>
    <row r="122" spans="2:8" ht="35" x14ac:dyDescent="0.35">
      <c r="B122" s="270"/>
      <c r="C122" s="270"/>
      <c r="D122" s="273"/>
      <c r="E122" s="270"/>
      <c r="F122" s="271"/>
      <c r="G122" s="271"/>
      <c r="H122" s="271"/>
    </row>
    <row r="123" spans="2:8" ht="35" x14ac:dyDescent="0.35">
      <c r="B123" s="270" t="s">
        <v>194</v>
      </c>
      <c r="C123" s="270"/>
      <c r="D123" s="273">
        <f>SUM(D121:D121)</f>
        <v>7337.935833333333</v>
      </c>
      <c r="E123" s="270"/>
      <c r="F123" s="271"/>
      <c r="G123" s="271"/>
      <c r="H123" s="271"/>
    </row>
    <row r="124" spans="2:8" ht="35" x14ac:dyDescent="0.35">
      <c r="B124" s="270" t="s">
        <v>195</v>
      </c>
      <c r="C124" s="270"/>
      <c r="D124" s="273">
        <f>D123*12</f>
        <v>88055.23</v>
      </c>
      <c r="E124" s="270"/>
      <c r="F124" s="271"/>
      <c r="G124" s="271"/>
      <c r="H124" s="271"/>
    </row>
    <row r="125" spans="2:8" ht="35" x14ac:dyDescent="0.35">
      <c r="B125" s="272" t="s">
        <v>205</v>
      </c>
      <c r="C125" s="272"/>
      <c r="D125" s="274">
        <f>D124/0.06</f>
        <v>1467587.1666666667</v>
      </c>
      <c r="E125" s="270"/>
      <c r="F125" s="271"/>
      <c r="G125" s="271"/>
      <c r="H125" s="271"/>
    </row>
    <row r="126" spans="2:8" ht="35" x14ac:dyDescent="0.35">
      <c r="B126" s="270"/>
      <c r="C126" s="270"/>
      <c r="D126" s="271"/>
      <c r="E126" s="270"/>
      <c r="F126" s="271"/>
      <c r="G126" s="271"/>
      <c r="H126" s="271"/>
    </row>
    <row r="127" spans="2:8" ht="35" x14ac:dyDescent="0.35">
      <c r="B127" s="286" t="s">
        <v>200</v>
      </c>
      <c r="C127" s="287"/>
      <c r="D127" s="288"/>
      <c r="E127" s="270"/>
      <c r="F127" s="271"/>
      <c r="G127" s="271"/>
      <c r="H127" s="271"/>
    </row>
    <row r="128" spans="2:8" ht="35" x14ac:dyDescent="0.35">
      <c r="B128" s="270" t="s">
        <v>201</v>
      </c>
      <c r="C128" s="270"/>
      <c r="D128" s="273">
        <f>D123</f>
        <v>7337.935833333333</v>
      </c>
      <c r="E128" s="270"/>
      <c r="F128" s="271"/>
      <c r="G128" s="271"/>
      <c r="H128" s="271"/>
    </row>
    <row r="129" spans="2:8" ht="35" x14ac:dyDescent="0.35">
      <c r="B129" s="270" t="s">
        <v>203</v>
      </c>
      <c r="C129" s="270"/>
      <c r="D129" s="273">
        <v>8000</v>
      </c>
      <c r="E129" s="270"/>
      <c r="F129" s="271"/>
      <c r="G129" s="271"/>
      <c r="H129" s="271"/>
    </row>
    <row r="130" spans="2:8" ht="35" x14ac:dyDescent="0.35">
      <c r="B130" s="270" t="s">
        <v>216</v>
      </c>
      <c r="C130" s="270"/>
      <c r="D130" s="273">
        <v>2000</v>
      </c>
      <c r="E130" s="270"/>
      <c r="F130" s="271"/>
      <c r="G130" s="271"/>
      <c r="H130" s="271"/>
    </row>
    <row r="131" spans="2:8" ht="35" x14ac:dyDescent="0.35">
      <c r="B131" s="270" t="s">
        <v>202</v>
      </c>
      <c r="D131" s="273">
        <v>2000</v>
      </c>
      <c r="E131" s="270"/>
      <c r="F131" s="271"/>
      <c r="G131" s="271"/>
      <c r="H131" s="271"/>
    </row>
    <row r="132" spans="2:8" ht="35" x14ac:dyDescent="0.35">
      <c r="B132" s="270" t="s">
        <v>208</v>
      </c>
      <c r="D132" s="273">
        <v>27000</v>
      </c>
      <c r="E132" s="270"/>
      <c r="F132" s="271"/>
      <c r="G132" s="271"/>
      <c r="H132" s="271"/>
    </row>
    <row r="133" spans="2:8" ht="35" x14ac:dyDescent="0.35">
      <c r="B133" s="270" t="s">
        <v>207</v>
      </c>
      <c r="C133" s="270"/>
      <c r="D133" s="273">
        <v>10000</v>
      </c>
      <c r="E133" s="270"/>
      <c r="F133" s="271"/>
      <c r="G133" s="271"/>
      <c r="H133" s="271"/>
    </row>
    <row r="134" spans="2:8" ht="35" x14ac:dyDescent="0.35">
      <c r="B134" s="270"/>
      <c r="C134" s="270"/>
      <c r="D134" s="273"/>
      <c r="E134" s="270"/>
      <c r="F134" s="271"/>
      <c r="G134" s="271"/>
      <c r="H134" s="271"/>
    </row>
    <row r="135" spans="2:8" ht="35" x14ac:dyDescent="0.35">
      <c r="B135" s="270" t="s">
        <v>194</v>
      </c>
      <c r="C135" s="270"/>
      <c r="D135" s="273">
        <f>SUM(D128:D133)</f>
        <v>56337.935833333337</v>
      </c>
      <c r="E135" s="270"/>
      <c r="F135" s="271"/>
      <c r="G135" s="271"/>
      <c r="H135" s="271"/>
    </row>
    <row r="136" spans="2:8" ht="35" x14ac:dyDescent="0.35">
      <c r="B136" s="270" t="s">
        <v>195</v>
      </c>
      <c r="C136" s="270"/>
      <c r="D136" s="273">
        <f>D135*12</f>
        <v>676055.23</v>
      </c>
      <c r="E136" s="270"/>
      <c r="F136" s="271"/>
      <c r="G136" s="271"/>
      <c r="H136" s="271"/>
    </row>
    <row r="137" spans="2:8" ht="35" x14ac:dyDescent="0.35">
      <c r="B137" s="272" t="s">
        <v>206</v>
      </c>
      <c r="C137" s="272"/>
      <c r="D137" s="274">
        <f>D136/0.05</f>
        <v>13521104.6</v>
      </c>
    </row>
  </sheetData>
  <mergeCells count="4">
    <mergeCell ref="B2:I2"/>
    <mergeCell ref="L2:M2"/>
    <mergeCell ref="B34:I34"/>
    <mergeCell ref="B61:I6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B3FA-E74F-0D4E-A4F8-4A853D94B892}">
  <dimension ref="B1:AI126"/>
  <sheetViews>
    <sheetView showGridLines="0" topLeftCell="A12" zoomScale="60" zoomScaleNormal="60" workbookViewId="0">
      <selection activeCell="V63" sqref="V63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6" style="18" customWidth="1"/>
    <col min="5" max="5" width="34.1640625" style="17" customWidth="1"/>
    <col min="6" max="6" width="8.33203125" style="18" customWidth="1"/>
    <col min="7" max="7" width="50.3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3" width="36.1640625" style="18" customWidth="1"/>
    <col min="24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0.12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299" t="s">
        <v>0</v>
      </c>
      <c r="C4" s="300" t="s">
        <v>55</v>
      </c>
      <c r="D4" s="300" t="s">
        <v>37</v>
      </c>
      <c r="E4" s="301" t="s">
        <v>38</v>
      </c>
      <c r="F4" s="302"/>
      <c r="G4" s="303" t="s">
        <v>64</v>
      </c>
      <c r="H4" s="300" t="s">
        <v>37</v>
      </c>
      <c r="I4" s="300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2000000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295"/>
      <c r="C5" s="304"/>
      <c r="D5" s="305"/>
      <c r="E5" s="306"/>
      <c r="F5" s="304"/>
      <c r="G5" s="65" t="s">
        <v>155</v>
      </c>
      <c r="H5" s="104">
        <f>SUM(E8:E16)</f>
        <v>9593.3333333333339</v>
      </c>
      <c r="I5" s="143">
        <f>H5*12</f>
        <v>115120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295" t="s">
        <v>40</v>
      </c>
      <c r="C6" s="302">
        <f>D6*12</f>
        <v>276000</v>
      </c>
      <c r="D6" s="307">
        <f>M6</f>
        <v>23000</v>
      </c>
      <c r="E6" s="308"/>
      <c r="F6" s="309"/>
      <c r="G6" s="295"/>
      <c r="H6" s="310"/>
      <c r="I6" s="311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295" t="s">
        <v>41</v>
      </c>
      <c r="C7" s="310">
        <f>D7*12</f>
        <v>0</v>
      </c>
      <c r="D7" s="307">
        <f>M7</f>
        <v>0</v>
      </c>
      <c r="E7" s="312"/>
      <c r="F7" s="302"/>
      <c r="G7" s="295"/>
      <c r="H7" s="313"/>
      <c r="I7" s="314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SUM(E44:E47)</f>
        <v>4375000</v>
      </c>
      <c r="T7" s="252"/>
      <c r="U7" s="252">
        <f>SUM(E37:E39)</f>
        <v>924000</v>
      </c>
      <c r="V7" s="252">
        <f>$E$34</f>
        <v>106000</v>
      </c>
      <c r="W7" s="252">
        <f>$I$50</f>
        <v>2000</v>
      </c>
      <c r="X7" s="252">
        <f>T7</f>
        <v>0</v>
      </c>
      <c r="Y7" s="252">
        <f t="shared" ref="Y7:Y66" si="1">SUM(S7:V7)-W7</f>
        <v>5403000</v>
      </c>
      <c r="Z7" s="255"/>
      <c r="AA7" s="255"/>
      <c r="AB7" s="255"/>
      <c r="AC7" s="255"/>
    </row>
    <row r="8" spans="2:35" ht="33" x14ac:dyDescent="0.35">
      <c r="B8" s="295" t="s">
        <v>42</v>
      </c>
      <c r="C8" s="310"/>
      <c r="D8" s="307">
        <f>M8</f>
        <v>10</v>
      </c>
      <c r="E8" s="315">
        <f>D8</f>
        <v>10</v>
      </c>
      <c r="F8" s="302"/>
      <c r="G8" s="295"/>
      <c r="H8" s="313"/>
      <c r="I8" s="314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4400520.833333333</v>
      </c>
      <c r="T8" s="252"/>
      <c r="U8" s="254">
        <f>($V$2/12+1)*U7+$V$3</f>
        <v>943240</v>
      </c>
      <c r="V8" s="254">
        <f>V7+$I$56</f>
        <v>131255.39749999999</v>
      </c>
      <c r="W8" s="252">
        <f>W7+X7</f>
        <v>2000</v>
      </c>
      <c r="X8" s="252">
        <f t="shared" ref="X8:X66" si="2">T8</f>
        <v>0</v>
      </c>
      <c r="Y8" s="252">
        <f t="shared" si="1"/>
        <v>5473016.230833333</v>
      </c>
      <c r="Z8" s="255"/>
      <c r="AA8" s="255"/>
      <c r="AB8" s="255"/>
      <c r="AC8" s="255"/>
    </row>
    <row r="9" spans="2:35" ht="33" x14ac:dyDescent="0.35">
      <c r="B9" s="295" t="s">
        <v>43</v>
      </c>
      <c r="C9" s="310"/>
      <c r="D9" s="307">
        <f>M9</f>
        <v>830</v>
      </c>
      <c r="E9" s="315">
        <f>D9</f>
        <v>830</v>
      </c>
      <c r="F9" s="302"/>
      <c r="G9" s="295"/>
      <c r="H9" s="313"/>
      <c r="I9" s="314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4426190.538194444</v>
      </c>
      <c r="T9" s="252"/>
      <c r="U9" s="254">
        <f t="shared" ref="U9:U66" si="4">($V$2/12+1)*U8+$V$3</f>
        <v>962672.4</v>
      </c>
      <c r="V9" s="254">
        <f t="shared" ref="V9:V66" si="5">V8+$I$56</f>
        <v>156510.79499999998</v>
      </c>
      <c r="W9" s="252">
        <f t="shared" ref="W9:W20" si="6">W8+X8</f>
        <v>2000</v>
      </c>
      <c r="X9" s="252">
        <f t="shared" si="2"/>
        <v>0</v>
      </c>
      <c r="Y9" s="252">
        <f t="shared" si="1"/>
        <v>5543373.7331944443</v>
      </c>
      <c r="Z9" s="255"/>
      <c r="AA9" s="255"/>
      <c r="AB9" s="255"/>
      <c r="AC9" s="255"/>
    </row>
    <row r="10" spans="2:35" ht="33" x14ac:dyDescent="0.35">
      <c r="B10" s="295" t="s">
        <v>48</v>
      </c>
      <c r="C10" s="310"/>
      <c r="D10" s="307">
        <f>M10</f>
        <v>0</v>
      </c>
      <c r="E10" s="315"/>
      <c r="F10" s="302"/>
      <c r="G10" s="295"/>
      <c r="H10" s="313"/>
      <c r="I10" s="314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4452009.9830005784</v>
      </c>
      <c r="T10" s="252"/>
      <c r="U10" s="254">
        <f t="shared" si="4"/>
        <v>982299.12400000007</v>
      </c>
      <c r="V10" s="254">
        <f t="shared" si="5"/>
        <v>181766.19249999998</v>
      </c>
      <c r="W10" s="252">
        <f t="shared" si="6"/>
        <v>2000</v>
      </c>
      <c r="X10" s="252">
        <f t="shared" si="2"/>
        <v>0</v>
      </c>
      <c r="Y10" s="252">
        <f t="shared" si="1"/>
        <v>5614075.2995005781</v>
      </c>
      <c r="Z10" s="255"/>
      <c r="AA10" s="255"/>
      <c r="AB10" s="255"/>
      <c r="AC10" s="255"/>
    </row>
    <row r="11" spans="2:35" ht="33" x14ac:dyDescent="0.35">
      <c r="B11" s="295"/>
      <c r="C11" s="255"/>
      <c r="D11" s="313"/>
      <c r="E11" s="306"/>
      <c r="F11" s="304"/>
      <c r="G11" s="295"/>
      <c r="H11" s="313"/>
      <c r="I11" s="316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4477980.0412347484</v>
      </c>
      <c r="T11" s="252"/>
      <c r="U11" s="254">
        <f t="shared" si="4"/>
        <v>1002122.1152400001</v>
      </c>
      <c r="V11" s="254">
        <f t="shared" si="5"/>
        <v>207021.58999999997</v>
      </c>
      <c r="W11" s="252">
        <f t="shared" si="6"/>
        <v>2000</v>
      </c>
      <c r="X11" s="252">
        <f t="shared" si="2"/>
        <v>0</v>
      </c>
      <c r="Y11" s="252">
        <f t="shared" si="1"/>
        <v>5685123.7464747485</v>
      </c>
      <c r="Z11" s="255"/>
      <c r="AA11" s="255"/>
      <c r="AB11" s="255"/>
      <c r="AC11" s="255"/>
    </row>
    <row r="12" spans="2:35" ht="33" x14ac:dyDescent="0.35">
      <c r="B12" s="317" t="s">
        <v>53</v>
      </c>
      <c r="C12" s="304"/>
      <c r="D12" s="305"/>
      <c r="E12" s="306"/>
      <c r="F12" s="304"/>
      <c r="G12" s="318" t="s">
        <v>129</v>
      </c>
      <c r="H12" s="319" t="s">
        <v>157</v>
      </c>
      <c r="I12" s="314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4504101.5914752847</v>
      </c>
      <c r="T12" s="252"/>
      <c r="U12" s="254">
        <f t="shared" si="4"/>
        <v>1022143.3363924001</v>
      </c>
      <c r="V12" s="254">
        <f t="shared" si="5"/>
        <v>232276.98749999996</v>
      </c>
      <c r="W12" s="252">
        <f t="shared" si="6"/>
        <v>2000</v>
      </c>
      <c r="X12" s="252">
        <f t="shared" si="2"/>
        <v>0</v>
      </c>
      <c r="Y12" s="252">
        <f t="shared" si="1"/>
        <v>5756521.9153676843</v>
      </c>
      <c r="Z12" s="255"/>
      <c r="AA12" s="255"/>
      <c r="AB12" s="255"/>
      <c r="AC12" s="255"/>
    </row>
    <row r="13" spans="2:35" ht="33" x14ac:dyDescent="0.35">
      <c r="B13" s="295"/>
      <c r="C13" s="304"/>
      <c r="D13" s="305"/>
      <c r="E13" s="306"/>
      <c r="F13" s="304"/>
      <c r="G13" s="295" t="s">
        <v>68</v>
      </c>
      <c r="H13" s="320">
        <f>C14/E45</f>
        <v>3.3936842105263161E-2</v>
      </c>
      <c r="I13" s="314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4530375.5174255576</v>
      </c>
      <c r="T13" s="252"/>
      <c r="U13" s="254">
        <f t="shared" si="4"/>
        <v>1042364.7697563241</v>
      </c>
      <c r="V13" s="254">
        <f t="shared" si="5"/>
        <v>257532.38499999995</v>
      </c>
      <c r="W13" s="252">
        <f t="shared" si="6"/>
        <v>2000</v>
      </c>
      <c r="X13" s="252">
        <f t="shared" si="2"/>
        <v>0</v>
      </c>
      <c r="Y13" s="252">
        <f t="shared" si="1"/>
        <v>5828272.672181882</v>
      </c>
      <c r="Z13" s="255"/>
      <c r="AA13" s="255"/>
      <c r="AB13" s="255"/>
      <c r="AC13" s="255"/>
    </row>
    <row r="14" spans="2:35" ht="33" x14ac:dyDescent="0.35">
      <c r="B14" s="295" t="str">
        <f>L14</f>
        <v>Rental income Forest Lake (per week)</v>
      </c>
      <c r="C14" s="321">
        <f>D14*12</f>
        <v>32240</v>
      </c>
      <c r="D14" s="307">
        <f>M14*52/12</f>
        <v>2686.6666666666665</v>
      </c>
      <c r="E14" s="322">
        <f>D14-D21</f>
        <v>2686.6666666666665</v>
      </c>
      <c r="F14" s="321"/>
      <c r="G14" s="295" t="s">
        <v>69</v>
      </c>
      <c r="H14" s="320">
        <f>C15/E46</f>
        <v>6.0666666666666667E-2</v>
      </c>
      <c r="I14" s="314"/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4556802.7079438735</v>
      </c>
      <c r="T14" s="252"/>
      <c r="U14" s="254">
        <f t="shared" si="4"/>
        <v>1062788.4174538874</v>
      </c>
      <c r="V14" s="254">
        <f t="shared" si="5"/>
        <v>282787.78249999997</v>
      </c>
      <c r="W14" s="252">
        <f t="shared" si="6"/>
        <v>2000</v>
      </c>
      <c r="X14" s="252">
        <f t="shared" si="2"/>
        <v>0</v>
      </c>
      <c r="Y14" s="252">
        <f t="shared" si="1"/>
        <v>5900378.9078977602</v>
      </c>
      <c r="Z14" s="255"/>
      <c r="AA14" s="255"/>
      <c r="AB14" s="255"/>
      <c r="AC14" s="255"/>
    </row>
    <row r="15" spans="2:35" ht="33" x14ac:dyDescent="0.35">
      <c r="B15" s="295" t="str">
        <f>L15</f>
        <v>Rental income Strathpine (per week)</v>
      </c>
      <c r="C15" s="321">
        <f>D15*12</f>
        <v>36400</v>
      </c>
      <c r="D15" s="307">
        <f>M15*52/12</f>
        <v>3033.3333333333335</v>
      </c>
      <c r="E15" s="322">
        <f>D15-D22</f>
        <v>3033.3333333333335</v>
      </c>
      <c r="F15" s="321"/>
      <c r="G15" s="295" t="s">
        <v>217</v>
      </c>
      <c r="H15" s="320">
        <f>C16/E47</f>
        <v>5.0206896551724139E-2</v>
      </c>
      <c r="I15" s="314"/>
      <c r="K15" s="205"/>
      <c r="L15" s="212" t="s">
        <v>221</v>
      </c>
      <c r="M15" s="223">
        <v>700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4583384.0570735466</v>
      </c>
      <c r="T15" s="252"/>
      <c r="U15" s="254">
        <f t="shared" si="4"/>
        <v>1083416.3016284262</v>
      </c>
      <c r="V15" s="254">
        <f t="shared" si="5"/>
        <v>308043.18</v>
      </c>
      <c r="W15" s="252">
        <f t="shared" si="6"/>
        <v>2000</v>
      </c>
      <c r="X15" s="252">
        <f t="shared" si="2"/>
        <v>0</v>
      </c>
      <c r="Y15" s="252">
        <f t="shared" si="1"/>
        <v>5972843.538701972</v>
      </c>
      <c r="Z15" s="255"/>
      <c r="AA15" s="255"/>
      <c r="AB15" s="255"/>
      <c r="AC15" s="255"/>
    </row>
    <row r="16" spans="2:35" ht="34" thickBot="1" x14ac:dyDescent="0.4">
      <c r="B16" s="295" t="str">
        <f>L16</f>
        <v>Rental income Mt Sheridan (per week)</v>
      </c>
      <c r="C16" s="321">
        <f>D16*12</f>
        <v>36400</v>
      </c>
      <c r="D16" s="307">
        <f>M16*52/12</f>
        <v>3033.3333333333335</v>
      </c>
      <c r="E16" s="322">
        <f>D16-D23</f>
        <v>3033.3333333333335</v>
      </c>
      <c r="F16" s="321"/>
      <c r="G16" s="295"/>
      <c r="H16" s="313"/>
      <c r="I16" s="314"/>
      <c r="K16" s="205"/>
      <c r="L16" s="214" t="s">
        <v>222</v>
      </c>
      <c r="M16" s="224">
        <v>700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4610120.464073142</v>
      </c>
      <c r="T16" s="252"/>
      <c r="U16" s="254">
        <f t="shared" si="4"/>
        <v>1104250.4646447105</v>
      </c>
      <c r="V16" s="254">
        <f t="shared" si="5"/>
        <v>333298.57750000001</v>
      </c>
      <c r="W16" s="252">
        <f t="shared" si="6"/>
        <v>2000</v>
      </c>
      <c r="X16" s="252">
        <f t="shared" si="2"/>
        <v>0</v>
      </c>
      <c r="Y16" s="252">
        <f t="shared" si="1"/>
        <v>6045669.5062178522</v>
      </c>
      <c r="Z16" s="255"/>
      <c r="AA16" s="255"/>
      <c r="AB16" s="255"/>
      <c r="AC16" s="255"/>
    </row>
    <row r="17" spans="2:29" ht="34" thickBot="1" x14ac:dyDescent="0.4">
      <c r="B17" s="323"/>
      <c r="C17" s="324"/>
      <c r="D17" s="325"/>
      <c r="E17" s="326"/>
      <c r="F17" s="321"/>
      <c r="G17" s="152" t="s">
        <v>56</v>
      </c>
      <c r="H17" s="153" t="s">
        <v>57</v>
      </c>
      <c r="I17" s="244">
        <f>SUM(D6:D16)</f>
        <v>32593.333333333332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4637012.8334469022</v>
      </c>
      <c r="T17" s="252">
        <f>$V$4</f>
        <v>2000000</v>
      </c>
      <c r="U17" s="254">
        <f t="shared" si="4"/>
        <v>1125292.9692911576</v>
      </c>
      <c r="V17" s="254">
        <f t="shared" si="5"/>
        <v>358553.97500000003</v>
      </c>
      <c r="W17" s="252">
        <f t="shared" si="6"/>
        <v>2000</v>
      </c>
      <c r="X17" s="252">
        <f t="shared" si="2"/>
        <v>2000000</v>
      </c>
      <c r="Y17" s="252">
        <f t="shared" si="1"/>
        <v>8118859.7777380589</v>
      </c>
      <c r="Z17" s="255"/>
      <c r="AA17" s="255"/>
      <c r="AB17" s="255"/>
      <c r="AC17" s="255"/>
    </row>
    <row r="18" spans="2:29" ht="33" x14ac:dyDescent="0.35">
      <c r="B18" s="327" t="s">
        <v>5</v>
      </c>
      <c r="C18" s="328" t="s">
        <v>55</v>
      </c>
      <c r="D18" s="328" t="s">
        <v>37</v>
      </c>
      <c r="E18" s="328"/>
      <c r="F18" s="329"/>
      <c r="G18" s="330"/>
      <c r="H18" s="331"/>
      <c r="I18" s="332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6664062.0749753425</v>
      </c>
      <c r="T18" s="252"/>
      <c r="U18" s="254">
        <f t="shared" si="4"/>
        <v>1146545.8989840692</v>
      </c>
      <c r="V18" s="254">
        <f t="shared" si="5"/>
        <v>383809.37250000006</v>
      </c>
      <c r="W18" s="252">
        <f t="shared" si="6"/>
        <v>2002000</v>
      </c>
      <c r="X18" s="252">
        <f t="shared" si="2"/>
        <v>0</v>
      </c>
      <c r="Y18" s="252">
        <f t="shared" si="1"/>
        <v>6192417.3464594111</v>
      </c>
      <c r="Z18" s="255"/>
      <c r="AA18" s="255"/>
      <c r="AB18" s="255"/>
      <c r="AC18" s="255"/>
    </row>
    <row r="19" spans="2:29" ht="33" x14ac:dyDescent="0.35">
      <c r="B19" s="295"/>
      <c r="C19" s="255"/>
      <c r="D19" s="313"/>
      <c r="E19" s="314"/>
      <c r="F19" s="255"/>
      <c r="G19" s="333"/>
      <c r="H19" s="313"/>
      <c r="I19" s="334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6702935.7704126984</v>
      </c>
      <c r="T19" s="252"/>
      <c r="U19" s="254">
        <f t="shared" si="4"/>
        <v>1168011.3579739099</v>
      </c>
      <c r="V19" s="254">
        <f t="shared" si="5"/>
        <v>409064.77000000008</v>
      </c>
      <c r="W19" s="252">
        <f t="shared" si="6"/>
        <v>2002000</v>
      </c>
      <c r="X19" s="252">
        <f t="shared" si="2"/>
        <v>0</v>
      </c>
      <c r="Y19" s="252">
        <f t="shared" si="1"/>
        <v>6278011.8983866088</v>
      </c>
      <c r="Z19" s="255"/>
      <c r="AA19" s="255"/>
      <c r="AB19" s="255"/>
      <c r="AC19" s="255"/>
    </row>
    <row r="20" spans="2:29" ht="33" x14ac:dyDescent="0.35">
      <c r="B20" s="295" t="s">
        <v>36</v>
      </c>
      <c r="C20" s="296">
        <f t="shared" ref="C20:C23" si="8">D20*12</f>
        <v>0</v>
      </c>
      <c r="D20" s="297">
        <f>M20</f>
        <v>0</v>
      </c>
      <c r="E20" s="335"/>
      <c r="F20" s="329"/>
      <c r="G20" s="333"/>
      <c r="H20" s="313"/>
      <c r="I20" s="334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6742036.2290734397</v>
      </c>
      <c r="T20" s="252"/>
      <c r="U20" s="254">
        <f t="shared" si="4"/>
        <v>1189691.4715536491</v>
      </c>
      <c r="V20" s="254">
        <f t="shared" si="5"/>
        <v>434320.1675000001</v>
      </c>
      <c r="W20" s="252">
        <f t="shared" si="6"/>
        <v>2002000</v>
      </c>
      <c r="X20" s="252">
        <f t="shared" si="2"/>
        <v>0</v>
      </c>
      <c r="Y20" s="252">
        <f t="shared" si="1"/>
        <v>6364047.868127089</v>
      </c>
      <c r="Z20" s="255"/>
      <c r="AA20" s="255"/>
      <c r="AB20" s="255"/>
      <c r="AC20" s="255"/>
    </row>
    <row r="21" spans="2:29" ht="34" thickBot="1" x14ac:dyDescent="0.4">
      <c r="B21" s="295" t="str">
        <f>L21</f>
        <v>Interest Forest Lake</v>
      </c>
      <c r="C21" s="296">
        <f t="shared" si="8"/>
        <v>0</v>
      </c>
      <c r="D21" s="297">
        <f>M21*I45/12</f>
        <v>0</v>
      </c>
      <c r="E21" s="335"/>
      <c r="F21" s="329"/>
      <c r="G21" s="333"/>
      <c r="H21" s="313"/>
      <c r="I21" s="334"/>
      <c r="K21" s="205"/>
      <c r="L21" s="212" t="s">
        <v>167</v>
      </c>
      <c r="M21" s="225">
        <v>5.9900000000000002E-2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6781364.7737430353</v>
      </c>
      <c r="T21" s="252"/>
      <c r="U21" s="254">
        <f t="shared" si="4"/>
        <v>1211588.3862691855</v>
      </c>
      <c r="V21" s="254">
        <f t="shared" si="5"/>
        <v>459575.56500000012</v>
      </c>
      <c r="W21" s="252">
        <f t="shared" ref="W21:W66" si="9">W20+X20</f>
        <v>2002000</v>
      </c>
      <c r="X21" s="252">
        <f t="shared" si="2"/>
        <v>0</v>
      </c>
      <c r="Y21" s="252">
        <f t="shared" si="1"/>
        <v>6450528.7250122204</v>
      </c>
      <c r="Z21" s="255"/>
      <c r="AA21" s="255"/>
      <c r="AB21" s="255"/>
      <c r="AC21" s="255"/>
    </row>
    <row r="22" spans="2:29" ht="34" thickBot="1" x14ac:dyDescent="0.4">
      <c r="B22" s="295" t="str">
        <f>L22</f>
        <v>Interest Strathpine</v>
      </c>
      <c r="C22" s="296">
        <f t="shared" si="8"/>
        <v>0</v>
      </c>
      <c r="D22" s="297">
        <f>M22*I46/12</f>
        <v>0</v>
      </c>
      <c r="E22" s="336"/>
      <c r="F22" s="337"/>
      <c r="G22" s="157" t="s">
        <v>86</v>
      </c>
      <c r="H22" s="104">
        <f>I17-I28</f>
        <v>25255.397499999999</v>
      </c>
      <c r="I22" s="334"/>
      <c r="K22" s="205"/>
      <c r="L22" s="212" t="s">
        <v>168</v>
      </c>
      <c r="M22" s="225">
        <v>5.9900000000000002E-2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6820922.7349232035</v>
      </c>
      <c r="T22" s="252"/>
      <c r="U22" s="254">
        <f t="shared" si="4"/>
        <v>1233704.2701318774</v>
      </c>
      <c r="V22" s="254">
        <f t="shared" si="5"/>
        <v>484830.96250000014</v>
      </c>
      <c r="W22" s="252">
        <f t="shared" si="9"/>
        <v>2002000</v>
      </c>
      <c r="X22" s="252">
        <f t="shared" si="2"/>
        <v>0</v>
      </c>
      <c r="Y22" s="252">
        <f t="shared" si="1"/>
        <v>6537457.9675550815</v>
      </c>
      <c r="Z22" s="255"/>
      <c r="AA22" s="255"/>
      <c r="AB22" s="255"/>
      <c r="AC22" s="255"/>
    </row>
    <row r="23" spans="2:29" ht="33" x14ac:dyDescent="0.35">
      <c r="B23" s="295" t="s">
        <v>219</v>
      </c>
      <c r="C23" s="296">
        <f t="shared" si="8"/>
        <v>0</v>
      </c>
      <c r="D23" s="297">
        <f>M23*I47/12</f>
        <v>0</v>
      </c>
      <c r="E23" s="335"/>
      <c r="F23" s="329"/>
      <c r="G23" s="338" t="s">
        <v>97</v>
      </c>
      <c r="H23" s="339"/>
      <c r="I23" s="334"/>
      <c r="K23" s="205"/>
      <c r="L23" s="212" t="s">
        <v>218</v>
      </c>
      <c r="M23" s="225">
        <v>5.9900000000000002E-2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6860711.4508769223</v>
      </c>
      <c r="T23" s="252"/>
      <c r="U23" s="254">
        <f t="shared" si="4"/>
        <v>1256041.3128331963</v>
      </c>
      <c r="V23" s="254">
        <f t="shared" si="5"/>
        <v>510086.36000000016</v>
      </c>
      <c r="W23" s="252">
        <f t="shared" si="9"/>
        <v>2002000</v>
      </c>
      <c r="X23" s="252">
        <f t="shared" si="2"/>
        <v>0</v>
      </c>
      <c r="Y23" s="252">
        <f t="shared" si="1"/>
        <v>6624839.1237101182</v>
      </c>
      <c r="Z23" s="255"/>
      <c r="AA23" s="255"/>
      <c r="AB23" s="255"/>
      <c r="AC23" s="255"/>
    </row>
    <row r="24" spans="2:29" ht="33" x14ac:dyDescent="0.35">
      <c r="B24" s="295"/>
      <c r="C24" s="255"/>
      <c r="D24" s="256"/>
      <c r="E24" s="335"/>
      <c r="F24" s="329"/>
      <c r="G24" s="333"/>
      <c r="H24" s="313"/>
      <c r="I24" s="334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6900732.2676737048</v>
      </c>
      <c r="T24" s="252"/>
      <c r="U24" s="254">
        <f t="shared" si="4"/>
        <v>1278601.7259615283</v>
      </c>
      <c r="V24" s="254">
        <f t="shared" si="5"/>
        <v>535341.75750000018</v>
      </c>
      <c r="W24" s="252">
        <f t="shared" si="9"/>
        <v>2002000</v>
      </c>
      <c r="X24" s="252">
        <f t="shared" si="2"/>
        <v>0</v>
      </c>
      <c r="Y24" s="252">
        <f t="shared" si="1"/>
        <v>6712675.7511352338</v>
      </c>
      <c r="Z24" s="255"/>
      <c r="AA24" s="255"/>
      <c r="AB24" s="255"/>
      <c r="AC24" s="255"/>
    </row>
    <row r="25" spans="2:29" ht="33" x14ac:dyDescent="0.35">
      <c r="B25" s="295" t="s">
        <v>98</v>
      </c>
      <c r="C25" s="296">
        <f>D25*12</f>
        <v>88055.23</v>
      </c>
      <c r="D25" s="298">
        <f>SUM(M30:M36)</f>
        <v>7337.935833333333</v>
      </c>
      <c r="E25" s="314"/>
      <c r="F25" s="255"/>
      <c r="G25" s="333"/>
      <c r="H25" s="313"/>
      <c r="I25" s="334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6940986.5392351346</v>
      </c>
      <c r="T25" s="252"/>
      <c r="U25" s="254">
        <f t="shared" si="4"/>
        <v>1301387.7432211435</v>
      </c>
      <c r="V25" s="254">
        <f t="shared" si="5"/>
        <v>560597.15500000014</v>
      </c>
      <c r="W25" s="252">
        <f t="shared" si="9"/>
        <v>2002000</v>
      </c>
      <c r="X25" s="252">
        <f t="shared" si="2"/>
        <v>0</v>
      </c>
      <c r="Y25" s="252">
        <f t="shared" si="1"/>
        <v>6800971.4374562781</v>
      </c>
      <c r="Z25" s="255"/>
      <c r="AA25" s="255"/>
      <c r="AB25" s="255"/>
      <c r="AC25" s="255"/>
    </row>
    <row r="26" spans="2:29" ht="33" x14ac:dyDescent="0.35">
      <c r="B26" s="295" t="s">
        <v>92</v>
      </c>
      <c r="C26" s="296">
        <f>D26*12</f>
        <v>0</v>
      </c>
      <c r="D26" s="298">
        <f>'Monthly Expenses Budget'!C10</f>
        <v>0</v>
      </c>
      <c r="E26" s="314"/>
      <c r="F26" s="255"/>
      <c r="G26" s="333"/>
      <c r="H26" s="313"/>
      <c r="I26" s="334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6981475.6273806728</v>
      </c>
      <c r="T26" s="252"/>
      <c r="U26" s="254">
        <f t="shared" si="4"/>
        <v>1324401.620653355</v>
      </c>
      <c r="V26" s="254">
        <f t="shared" si="5"/>
        <v>585852.55250000011</v>
      </c>
      <c r="W26" s="252">
        <f t="shared" si="9"/>
        <v>2002000</v>
      </c>
      <c r="X26" s="252">
        <f t="shared" si="2"/>
        <v>0</v>
      </c>
      <c r="Y26" s="252">
        <f t="shared" si="1"/>
        <v>6889729.8005340286</v>
      </c>
      <c r="Z26" s="255"/>
      <c r="AA26" s="255"/>
      <c r="AB26" s="255"/>
      <c r="AC26" s="255"/>
    </row>
    <row r="27" spans="2:29" ht="34" thickBot="1" x14ac:dyDescent="0.4">
      <c r="B27" s="295" t="s">
        <v>27</v>
      </c>
      <c r="C27" s="296"/>
      <c r="D27" s="298">
        <f>M26</f>
        <v>0</v>
      </c>
      <c r="E27" s="314"/>
      <c r="F27" s="255"/>
      <c r="G27" s="333"/>
      <c r="H27" s="313"/>
      <c r="I27" s="334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7022200.9018737273</v>
      </c>
      <c r="T27" s="252"/>
      <c r="U27" s="254">
        <f t="shared" si="4"/>
        <v>1347645.6368598887</v>
      </c>
      <c r="V27" s="254">
        <f t="shared" si="5"/>
        <v>611107.95000000007</v>
      </c>
      <c r="W27" s="252">
        <f t="shared" si="9"/>
        <v>2002000</v>
      </c>
      <c r="X27" s="252">
        <f t="shared" si="2"/>
        <v>0</v>
      </c>
      <c r="Y27" s="252">
        <f t="shared" si="1"/>
        <v>6978954.4887336157</v>
      </c>
      <c r="Z27" s="255"/>
      <c r="AA27" s="255"/>
      <c r="AB27" s="255"/>
      <c r="AC27" s="255"/>
    </row>
    <row r="28" spans="2:29" ht="34" thickBot="1" x14ac:dyDescent="0.4">
      <c r="B28" s="340"/>
      <c r="C28" s="341"/>
      <c r="D28" s="342"/>
      <c r="E28" s="343"/>
      <c r="F28" s="255"/>
      <c r="G28" s="158" t="s">
        <v>58</v>
      </c>
      <c r="H28" s="159" t="s">
        <v>57</v>
      </c>
      <c r="I28" s="245">
        <f>SUM(D20:D27)</f>
        <v>7337.935833333333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7063163.7404679907</v>
      </c>
      <c r="T28" s="252">
        <f>$V$4</f>
        <v>2000000</v>
      </c>
      <c r="U28" s="254">
        <f t="shared" si="4"/>
        <v>1371122.0932284875</v>
      </c>
      <c r="V28" s="254">
        <f t="shared" si="5"/>
        <v>636363.34750000003</v>
      </c>
      <c r="W28" s="252">
        <f t="shared" si="9"/>
        <v>2002000</v>
      </c>
      <c r="X28" s="252">
        <f t="shared" si="2"/>
        <v>2000000</v>
      </c>
      <c r="Y28" s="252">
        <f t="shared" si="1"/>
        <v>9068649.1811964791</v>
      </c>
      <c r="Z28" s="255"/>
      <c r="AA28" s="255"/>
      <c r="AB28" s="255"/>
      <c r="AC28" s="255"/>
    </row>
    <row r="29" spans="2:29" ht="34" thickBot="1" x14ac:dyDescent="0.4">
      <c r="B29" s="255"/>
      <c r="C29" s="255"/>
      <c r="D29" s="255"/>
      <c r="E29" s="32"/>
      <c r="F29" s="255"/>
      <c r="G29" s="255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9104365.5289540552</v>
      </c>
      <c r="T29" s="252"/>
      <c r="U29" s="254">
        <f t="shared" si="4"/>
        <v>1394833.3141607724</v>
      </c>
      <c r="V29" s="254">
        <f t="shared" si="5"/>
        <v>661618.745</v>
      </c>
      <c r="W29" s="252">
        <f t="shared" si="9"/>
        <v>4002000</v>
      </c>
      <c r="X29" s="252">
        <f t="shared" si="2"/>
        <v>0</v>
      </c>
      <c r="Y29" s="252">
        <f t="shared" si="1"/>
        <v>7158817.588114826</v>
      </c>
      <c r="Z29" s="255"/>
      <c r="AA29" s="255"/>
      <c r="AB29" s="255"/>
      <c r="AC29" s="255"/>
    </row>
    <row r="30" spans="2:29" ht="34" thickBot="1" x14ac:dyDescent="0.4">
      <c r="B30" s="634" t="s">
        <v>7</v>
      </c>
      <c r="C30" s="635"/>
      <c r="D30" s="635"/>
      <c r="E30" s="635"/>
      <c r="F30" s="635"/>
      <c r="G30" s="635"/>
      <c r="H30" s="635"/>
      <c r="I30" s="636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9157474.3278729543</v>
      </c>
      <c r="T30" s="252"/>
      <c r="U30" s="254">
        <f t="shared" si="4"/>
        <v>1418781.6473023801</v>
      </c>
      <c r="V30" s="254">
        <f t="shared" si="5"/>
        <v>686874.14249999996</v>
      </c>
      <c r="W30" s="252">
        <f t="shared" si="9"/>
        <v>4002000</v>
      </c>
      <c r="X30" s="252">
        <f t="shared" si="2"/>
        <v>0</v>
      </c>
      <c r="Y30" s="252">
        <f t="shared" si="1"/>
        <v>7261130.1176753342</v>
      </c>
      <c r="Z30" s="255"/>
      <c r="AA30" s="255"/>
      <c r="AB30" s="255"/>
      <c r="AC30" s="255"/>
    </row>
    <row r="31" spans="2:29" ht="34" thickBot="1" x14ac:dyDescent="0.4">
      <c r="B31" s="295"/>
      <c r="C31" s="255"/>
      <c r="D31" s="255"/>
      <c r="E31" s="313"/>
      <c r="F31" s="255"/>
      <c r="G31" s="255"/>
      <c r="H31" s="255"/>
      <c r="I31" s="313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9210892.9281188808</v>
      </c>
      <c r="T31" s="252"/>
      <c r="U31" s="254">
        <f t="shared" si="4"/>
        <v>1442969.4637754038</v>
      </c>
      <c r="V31" s="254">
        <f t="shared" si="5"/>
        <v>712129.53999999992</v>
      </c>
      <c r="W31" s="252">
        <f t="shared" si="9"/>
        <v>4002000</v>
      </c>
      <c r="X31" s="252">
        <f t="shared" si="2"/>
        <v>0</v>
      </c>
      <c r="Y31" s="252">
        <f t="shared" si="1"/>
        <v>7363991.9318942837</v>
      </c>
      <c r="Z31" s="255"/>
      <c r="AA31" s="255"/>
      <c r="AB31" s="255"/>
      <c r="AC31" s="255"/>
    </row>
    <row r="32" spans="2:29" ht="34" thickBot="1" x14ac:dyDescent="0.4">
      <c r="B32" s="344" t="s">
        <v>49</v>
      </c>
      <c r="C32" s="345"/>
      <c r="D32" s="345"/>
      <c r="E32" s="346" t="s">
        <v>67</v>
      </c>
      <c r="F32" s="255"/>
      <c r="G32" s="347" t="s">
        <v>50</v>
      </c>
      <c r="H32" s="348"/>
      <c r="I32" s="349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9264623.1368662417</v>
      </c>
      <c r="T32" s="252"/>
      <c r="U32" s="254">
        <f t="shared" si="4"/>
        <v>1467399.1584131578</v>
      </c>
      <c r="V32" s="254">
        <f t="shared" si="5"/>
        <v>737384.93749999988</v>
      </c>
      <c r="W32" s="252">
        <f t="shared" si="9"/>
        <v>4002000</v>
      </c>
      <c r="X32" s="252">
        <f t="shared" si="2"/>
        <v>0</v>
      </c>
      <c r="Y32" s="252">
        <f t="shared" si="1"/>
        <v>7467407.2327793986</v>
      </c>
      <c r="Z32" s="255"/>
      <c r="AA32" s="255"/>
      <c r="AB32" s="255"/>
      <c r="AC32" s="255"/>
    </row>
    <row r="33" spans="2:29" ht="33" x14ac:dyDescent="0.35">
      <c r="B33" s="333"/>
      <c r="C33" s="255"/>
      <c r="D33" s="255"/>
      <c r="E33" s="334"/>
      <c r="F33" s="255"/>
      <c r="G33" s="295"/>
      <c r="H33" s="313"/>
      <c r="I33" s="314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9318666.7718312945</v>
      </c>
      <c r="T33" s="252"/>
      <c r="U33" s="254">
        <f t="shared" si="4"/>
        <v>1492073.1499972893</v>
      </c>
      <c r="V33" s="254">
        <f t="shared" si="5"/>
        <v>762640.33499999985</v>
      </c>
      <c r="W33" s="252">
        <f t="shared" si="9"/>
        <v>4002000</v>
      </c>
      <c r="X33" s="252">
        <f t="shared" si="2"/>
        <v>0</v>
      </c>
      <c r="Y33" s="252">
        <f t="shared" si="1"/>
        <v>7571380.2568285819</v>
      </c>
      <c r="Z33" s="255"/>
      <c r="AA33" s="255"/>
      <c r="AB33" s="255"/>
      <c r="AC33" s="255"/>
    </row>
    <row r="34" spans="2:29" ht="33" x14ac:dyDescent="0.35">
      <c r="B34" s="333" t="s">
        <v>46</v>
      </c>
      <c r="C34" s="313"/>
      <c r="D34" s="255"/>
      <c r="E34" s="350">
        <f>M40</f>
        <v>106000</v>
      </c>
      <c r="F34" s="255"/>
      <c r="G34" s="295" t="s">
        <v>44</v>
      </c>
      <c r="H34" s="313"/>
      <c r="I34" s="351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9373025.6613336448</v>
      </c>
      <c r="T34" s="252"/>
      <c r="U34" s="254">
        <f t="shared" si="4"/>
        <v>1516993.8814972623</v>
      </c>
      <c r="V34" s="254">
        <f t="shared" si="5"/>
        <v>787895.73249999981</v>
      </c>
      <c r="W34" s="252">
        <f t="shared" si="9"/>
        <v>4002000</v>
      </c>
      <c r="X34" s="252">
        <f t="shared" si="2"/>
        <v>0</v>
      </c>
      <c r="Y34" s="252">
        <f t="shared" si="1"/>
        <v>7675915.2753309067</v>
      </c>
      <c r="Z34" s="255"/>
      <c r="AA34" s="255"/>
      <c r="AB34" s="255"/>
      <c r="AC34" s="255"/>
    </row>
    <row r="35" spans="2:29" s="28" customFormat="1" ht="33" x14ac:dyDescent="0.35">
      <c r="B35" s="333" t="s">
        <v>47</v>
      </c>
      <c r="C35" s="313"/>
      <c r="D35" s="255"/>
      <c r="E35" s="350">
        <f>M41</f>
        <v>0</v>
      </c>
      <c r="F35" s="255"/>
      <c r="G35" s="295" t="s">
        <v>45</v>
      </c>
      <c r="H35" s="313"/>
      <c r="I35" s="351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9427701.6443580911</v>
      </c>
      <c r="T35" s="252"/>
      <c r="U35" s="254">
        <f t="shared" si="4"/>
        <v>1542163.8203122348</v>
      </c>
      <c r="V35" s="254">
        <f t="shared" si="5"/>
        <v>813151.12999999977</v>
      </c>
      <c r="W35" s="252">
        <f t="shared" si="9"/>
        <v>4002000</v>
      </c>
      <c r="X35" s="252">
        <f t="shared" si="2"/>
        <v>0</v>
      </c>
      <c r="Y35" s="252">
        <f t="shared" si="1"/>
        <v>7781016.5946703255</v>
      </c>
      <c r="Z35" s="255"/>
      <c r="AA35" s="255"/>
      <c r="AB35" s="255"/>
      <c r="AC35" s="255"/>
    </row>
    <row r="36" spans="2:29" ht="34" thickBot="1" x14ac:dyDescent="0.4">
      <c r="B36" s="333"/>
      <c r="C36" s="313"/>
      <c r="D36" s="255"/>
      <c r="E36" s="352"/>
      <c r="F36" s="255"/>
      <c r="G36" s="295" t="s">
        <v>62</v>
      </c>
      <c r="H36" s="313"/>
      <c r="I36" s="353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9482696.5706168469</v>
      </c>
      <c r="T36" s="252"/>
      <c r="U36" s="254">
        <f t="shared" si="4"/>
        <v>1567585.4585153572</v>
      </c>
      <c r="V36" s="254">
        <f t="shared" si="5"/>
        <v>838406.52749999973</v>
      </c>
      <c r="W36" s="252">
        <f t="shared" si="9"/>
        <v>4002000</v>
      </c>
      <c r="X36" s="252">
        <f t="shared" si="2"/>
        <v>0</v>
      </c>
      <c r="Y36" s="252">
        <f t="shared" si="1"/>
        <v>7886688.556632204</v>
      </c>
      <c r="Z36" s="255"/>
      <c r="AA36" s="255"/>
      <c r="AB36" s="255"/>
      <c r="AC36" s="255"/>
    </row>
    <row r="37" spans="2:29" ht="31" x14ac:dyDescent="0.3">
      <c r="B37" s="333" t="s">
        <v>51</v>
      </c>
      <c r="C37" s="313"/>
      <c r="D37" s="255"/>
      <c r="E37" s="350">
        <f>M43</f>
        <v>190000</v>
      </c>
      <c r="F37" s="255"/>
      <c r="G37" s="295" t="s">
        <v>61</v>
      </c>
      <c r="H37" s="313"/>
      <c r="I37" s="353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9538012.3006121125</v>
      </c>
      <c r="T37" s="252"/>
      <c r="U37" s="254">
        <f t="shared" si="4"/>
        <v>1593261.3131005107</v>
      </c>
      <c r="V37" s="254">
        <f t="shared" si="5"/>
        <v>863661.9249999997</v>
      </c>
      <c r="W37" s="252">
        <f t="shared" si="9"/>
        <v>4002000</v>
      </c>
      <c r="X37" s="252">
        <f t="shared" si="2"/>
        <v>0</v>
      </c>
      <c r="Y37" s="252">
        <f t="shared" si="1"/>
        <v>7992935.5387126226</v>
      </c>
      <c r="Z37" s="255"/>
      <c r="AA37" s="255"/>
      <c r="AB37" s="255"/>
      <c r="AC37" s="255"/>
    </row>
    <row r="38" spans="2:29" ht="29" customHeight="1" thickBot="1" x14ac:dyDescent="0.4">
      <c r="B38" s="333" t="s">
        <v>52</v>
      </c>
      <c r="C38" s="313"/>
      <c r="D38" s="255"/>
      <c r="E38" s="350">
        <f>M44</f>
        <v>218000</v>
      </c>
      <c r="F38" s="255"/>
      <c r="G38" s="295"/>
      <c r="H38" s="313"/>
      <c r="I38" s="354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9593650.7056990173</v>
      </c>
      <c r="T38" s="252"/>
      <c r="U38" s="254">
        <f t="shared" si="4"/>
        <v>1619193.9262315158</v>
      </c>
      <c r="V38" s="254">
        <f t="shared" si="5"/>
        <v>888917.32249999966</v>
      </c>
      <c r="W38" s="252">
        <f t="shared" si="9"/>
        <v>4002000</v>
      </c>
      <c r="X38" s="252">
        <f t="shared" si="2"/>
        <v>0</v>
      </c>
      <c r="Y38" s="252">
        <f t="shared" si="1"/>
        <v>8099761.9544305336</v>
      </c>
      <c r="Z38" s="255"/>
      <c r="AA38" s="255"/>
      <c r="AB38" s="255"/>
      <c r="AC38" s="255"/>
    </row>
    <row r="39" spans="2:29" ht="33" x14ac:dyDescent="0.35">
      <c r="B39" s="333" t="s">
        <v>54</v>
      </c>
      <c r="C39" s="313"/>
      <c r="D39" s="255"/>
      <c r="E39" s="350">
        <f>M45</f>
        <v>516000</v>
      </c>
      <c r="F39" s="255"/>
      <c r="G39" s="295"/>
      <c r="H39" s="313"/>
      <c r="I39" s="354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9649613.6681489293</v>
      </c>
      <c r="T39" s="252"/>
      <c r="U39" s="254">
        <f t="shared" si="4"/>
        <v>1645385.865493831</v>
      </c>
      <c r="V39" s="254">
        <f t="shared" si="5"/>
        <v>914172.71999999962</v>
      </c>
      <c r="W39" s="252">
        <f t="shared" si="9"/>
        <v>4002000</v>
      </c>
      <c r="X39" s="252">
        <f t="shared" si="2"/>
        <v>0</v>
      </c>
      <c r="Y39" s="252">
        <f t="shared" si="1"/>
        <v>8207172.2536427584</v>
      </c>
      <c r="Z39" s="255"/>
      <c r="AA39" s="255"/>
      <c r="AB39" s="255"/>
      <c r="AC39" s="255"/>
    </row>
    <row r="40" spans="2:29" ht="33" x14ac:dyDescent="0.35">
      <c r="B40" s="333"/>
      <c r="C40" s="313"/>
      <c r="D40" s="255"/>
      <c r="E40" s="350"/>
      <c r="F40" s="255"/>
      <c r="G40" s="295"/>
      <c r="H40" s="313"/>
      <c r="I40" s="354"/>
      <c r="K40" s="205"/>
      <c r="L40" s="212" t="s">
        <v>77</v>
      </c>
      <c r="M40" s="223">
        <v>106000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9705903.0812131315</v>
      </c>
      <c r="T40" s="252">
        <f>$V$4</f>
        <v>2000000</v>
      </c>
      <c r="U40" s="254">
        <f t="shared" si="4"/>
        <v>1671839.7241487694</v>
      </c>
      <c r="V40" s="254">
        <f t="shared" si="5"/>
        <v>939428.11749999959</v>
      </c>
      <c r="W40" s="252">
        <f t="shared" si="9"/>
        <v>4002000</v>
      </c>
      <c r="X40" s="252">
        <f t="shared" si="2"/>
        <v>2000000</v>
      </c>
      <c r="Y40" s="252">
        <f t="shared" si="1"/>
        <v>10315170.9228619</v>
      </c>
      <c r="Z40" s="255"/>
      <c r="AA40" s="255"/>
      <c r="AB40" s="255"/>
      <c r="AC40" s="255"/>
    </row>
    <row r="41" spans="2:29" ht="33" x14ac:dyDescent="0.35">
      <c r="B41" s="333" t="s">
        <v>65</v>
      </c>
      <c r="C41" s="313"/>
      <c r="D41" s="255"/>
      <c r="E41" s="350">
        <f>M47</f>
        <v>220000</v>
      </c>
      <c r="F41" s="255"/>
      <c r="G41" s="295"/>
      <c r="H41" s="313"/>
      <c r="I41" s="354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11762520.849186875</v>
      </c>
      <c r="T41" s="252"/>
      <c r="U41" s="254">
        <f t="shared" si="4"/>
        <v>1698558.121390257</v>
      </c>
      <c r="V41" s="254">
        <f t="shared" si="5"/>
        <v>964683.51499999955</v>
      </c>
      <c r="W41" s="252">
        <f t="shared" si="9"/>
        <v>6002000</v>
      </c>
      <c r="X41" s="252">
        <f t="shared" si="2"/>
        <v>0</v>
      </c>
      <c r="Y41" s="252">
        <f t="shared" si="1"/>
        <v>8423762.4855771307</v>
      </c>
      <c r="Z41" s="255"/>
      <c r="AA41" s="255"/>
      <c r="AB41" s="255"/>
      <c r="AC41" s="255"/>
    </row>
    <row r="42" spans="2:29" ht="33" x14ac:dyDescent="0.35">
      <c r="B42" s="333" t="s">
        <v>66</v>
      </c>
      <c r="C42" s="313"/>
      <c r="D42" s="255"/>
      <c r="E42" s="350">
        <f>M48</f>
        <v>200000</v>
      </c>
      <c r="F42" s="255"/>
      <c r="G42" s="295"/>
      <c r="H42" s="313"/>
      <c r="I42" s="354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11831135.554140465</v>
      </c>
      <c r="T42" s="252"/>
      <c r="U42" s="254">
        <f t="shared" si="4"/>
        <v>1725543.7026041597</v>
      </c>
      <c r="V42" s="254">
        <f t="shared" si="5"/>
        <v>989938.91249999951</v>
      </c>
      <c r="W42" s="252">
        <f t="shared" si="9"/>
        <v>6002000</v>
      </c>
      <c r="X42" s="252">
        <f t="shared" si="2"/>
        <v>0</v>
      </c>
      <c r="Y42" s="252">
        <f t="shared" si="1"/>
        <v>8544618.1692446247</v>
      </c>
      <c r="Z42" s="255"/>
      <c r="AA42" s="255"/>
      <c r="AB42" s="255"/>
      <c r="AC42" s="255"/>
    </row>
    <row r="43" spans="2:29" ht="33" x14ac:dyDescent="0.35">
      <c r="B43" s="333"/>
      <c r="C43" s="255"/>
      <c r="D43" s="319" t="s">
        <v>63</v>
      </c>
      <c r="E43" s="352"/>
      <c r="F43" s="255"/>
      <c r="G43" s="295"/>
      <c r="H43" s="313"/>
      <c r="I43" s="354"/>
      <c r="K43" s="205"/>
      <c r="L43" s="212" t="s">
        <v>79</v>
      </c>
      <c r="M43" s="223">
        <v>190000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11900150.511539618</v>
      </c>
      <c r="T43" s="252"/>
      <c r="U43" s="254">
        <f t="shared" si="4"/>
        <v>1752799.1396302013</v>
      </c>
      <c r="V43" s="254">
        <f t="shared" si="5"/>
        <v>1015194.3099999995</v>
      </c>
      <c r="W43" s="252">
        <f t="shared" si="9"/>
        <v>6002000</v>
      </c>
      <c r="X43" s="252">
        <f t="shared" si="2"/>
        <v>0</v>
      </c>
      <c r="Y43" s="252">
        <f t="shared" si="1"/>
        <v>8666143.9611698166</v>
      </c>
      <c r="Z43" s="255"/>
      <c r="AA43" s="255"/>
      <c r="AB43" s="255"/>
      <c r="AC43" s="255"/>
    </row>
    <row r="44" spans="2:29" ht="33" x14ac:dyDescent="0.35">
      <c r="B44" s="333" t="s">
        <v>2</v>
      </c>
      <c r="C44" s="255"/>
      <c r="D44" s="355">
        <f>E44-I44</f>
        <v>2100000</v>
      </c>
      <c r="E44" s="350">
        <f>M50</f>
        <v>2100000</v>
      </c>
      <c r="F44" s="255"/>
      <c r="G44" s="295" t="s">
        <v>6</v>
      </c>
      <c r="H44" s="313"/>
      <c r="I44" s="351">
        <f>M62</f>
        <v>0</v>
      </c>
      <c r="K44" s="205"/>
      <c r="L44" s="212" t="s">
        <v>80</v>
      </c>
      <c r="M44" s="223">
        <v>218000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11969568.056190265</v>
      </c>
      <c r="T44" s="252"/>
      <c r="U44" s="254">
        <f t="shared" si="4"/>
        <v>1780327.1310265034</v>
      </c>
      <c r="V44" s="254">
        <f t="shared" si="5"/>
        <v>1040449.7074999994</v>
      </c>
      <c r="W44" s="252">
        <f t="shared" si="9"/>
        <v>6002000</v>
      </c>
      <c r="X44" s="252">
        <f t="shared" si="2"/>
        <v>0</v>
      </c>
      <c r="Y44" s="252">
        <f t="shared" si="1"/>
        <v>8788344.8947167676</v>
      </c>
      <c r="Z44" s="255"/>
      <c r="AA44" s="255"/>
      <c r="AB44" s="255"/>
      <c r="AC44" s="255"/>
    </row>
    <row r="45" spans="2:29" ht="33" x14ac:dyDescent="0.35">
      <c r="B45" s="333" t="str">
        <f>L51</f>
        <v>Investment 1 - Forest Lake value</v>
      </c>
      <c r="C45" s="255"/>
      <c r="D45" s="355">
        <f>E45-I45</f>
        <v>950000</v>
      </c>
      <c r="E45" s="350">
        <f>M51</f>
        <v>950000</v>
      </c>
      <c r="F45" s="255"/>
      <c r="G45" s="295" t="s">
        <v>3</v>
      </c>
      <c r="H45" s="313"/>
      <c r="I45" s="351">
        <f>M64</f>
        <v>0</v>
      </c>
      <c r="K45" s="205"/>
      <c r="L45" s="212" t="s">
        <v>81</v>
      </c>
      <c r="M45" s="223">
        <v>516000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12039390.536518043</v>
      </c>
      <c r="T45" s="252"/>
      <c r="U45" s="254">
        <f t="shared" si="4"/>
        <v>1808130.4023367683</v>
      </c>
      <c r="V45" s="254">
        <f t="shared" si="5"/>
        <v>1065705.1049999995</v>
      </c>
      <c r="W45" s="252">
        <f t="shared" si="9"/>
        <v>6002000</v>
      </c>
      <c r="X45" s="252">
        <f t="shared" si="2"/>
        <v>0</v>
      </c>
      <c r="Y45" s="252">
        <f t="shared" si="1"/>
        <v>8911226.0438548103</v>
      </c>
      <c r="Z45" s="255"/>
      <c r="AA45" s="255"/>
      <c r="AB45" s="255"/>
      <c r="AC45" s="255"/>
    </row>
    <row r="46" spans="2:29" ht="33" x14ac:dyDescent="0.35">
      <c r="B46" s="333" t="str">
        <f>L52</f>
        <v>Investment 2 - Strathpine value</v>
      </c>
      <c r="C46" s="255"/>
      <c r="D46" s="355">
        <f>E46-I46</f>
        <v>600000</v>
      </c>
      <c r="E46" s="350">
        <f>M52</f>
        <v>600000</v>
      </c>
      <c r="F46" s="255"/>
      <c r="G46" s="295" t="s">
        <v>4</v>
      </c>
      <c r="H46" s="313"/>
      <c r="I46" s="351">
        <f>M65</f>
        <v>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12109620.314647732</v>
      </c>
      <c r="T46" s="252"/>
      <c r="U46" s="254">
        <f t="shared" si="4"/>
        <v>1836211.7063601359</v>
      </c>
      <c r="V46" s="254">
        <f t="shared" si="5"/>
        <v>1090960.5024999995</v>
      </c>
      <c r="W46" s="252">
        <f t="shared" si="9"/>
        <v>6002000</v>
      </c>
      <c r="X46" s="252">
        <f t="shared" si="2"/>
        <v>0</v>
      </c>
      <c r="Y46" s="252">
        <f t="shared" si="1"/>
        <v>9034792.523507867</v>
      </c>
      <c r="Z46" s="255"/>
      <c r="AA46" s="255"/>
      <c r="AB46" s="255"/>
      <c r="AC46" s="255"/>
    </row>
    <row r="47" spans="2:29" ht="33" x14ac:dyDescent="0.35">
      <c r="B47" s="333" t="str">
        <f>L53</f>
        <v>Investment 3 - Mt Sheridan value</v>
      </c>
      <c r="C47" s="255"/>
      <c r="D47" s="355">
        <f>E47-I47</f>
        <v>725000</v>
      </c>
      <c r="E47" s="350">
        <f>M53</f>
        <v>725000</v>
      </c>
      <c r="F47" s="255"/>
      <c r="G47" s="295" t="s">
        <v>213</v>
      </c>
      <c r="H47" s="313"/>
      <c r="I47" s="351">
        <f>M66</f>
        <v>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12180259.766483178</v>
      </c>
      <c r="T47" s="252"/>
      <c r="U47" s="254">
        <f t="shared" si="4"/>
        <v>1864573.8234237372</v>
      </c>
      <c r="V47" s="254">
        <f t="shared" si="5"/>
        <v>1116215.8999999994</v>
      </c>
      <c r="W47" s="252">
        <f t="shared" si="9"/>
        <v>6002000</v>
      </c>
      <c r="X47" s="252">
        <f t="shared" si="2"/>
        <v>0</v>
      </c>
      <c r="Y47" s="252">
        <f t="shared" si="1"/>
        <v>9159049.4899069145</v>
      </c>
      <c r="Z47" s="255"/>
      <c r="AA47" s="255"/>
      <c r="AB47" s="255"/>
      <c r="AC47" s="255"/>
    </row>
    <row r="48" spans="2:29" ht="33" x14ac:dyDescent="0.35">
      <c r="B48" s="333"/>
      <c r="C48" s="355"/>
      <c r="D48" s="255"/>
      <c r="E48" s="334"/>
      <c r="F48" s="255"/>
      <c r="G48" s="295"/>
      <c r="H48" s="313"/>
      <c r="I48" s="314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12251311.281787664</v>
      </c>
      <c r="T48" s="252"/>
      <c r="U48" s="254">
        <f t="shared" si="4"/>
        <v>1893219.5616579745</v>
      </c>
      <c r="V48" s="254">
        <f t="shared" si="5"/>
        <v>1141471.2974999994</v>
      </c>
      <c r="W48" s="252">
        <f t="shared" si="9"/>
        <v>6002000</v>
      </c>
      <c r="X48" s="252">
        <f t="shared" si="2"/>
        <v>0</v>
      </c>
      <c r="Y48" s="252">
        <f t="shared" si="1"/>
        <v>9284002.1409456376</v>
      </c>
      <c r="Z48" s="255"/>
      <c r="AA48" s="255"/>
      <c r="AB48" s="255"/>
      <c r="AC48" s="255"/>
    </row>
    <row r="49" spans="2:29" ht="34" thickBot="1" x14ac:dyDescent="0.4">
      <c r="B49" s="358" t="s">
        <v>156</v>
      </c>
      <c r="C49" s="313"/>
      <c r="D49" s="255"/>
      <c r="E49" s="356">
        <f>SUM(E34:E48)</f>
        <v>5825000</v>
      </c>
      <c r="F49" s="255"/>
      <c r="G49" s="63"/>
      <c r="H49" s="342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12322777.264264759</v>
      </c>
      <c r="T49" s="252"/>
      <c r="U49" s="254">
        <f t="shared" si="4"/>
        <v>1922151.7572745543</v>
      </c>
      <c r="V49" s="254">
        <f t="shared" si="5"/>
        <v>1166726.6949999994</v>
      </c>
      <c r="W49" s="252">
        <f t="shared" si="9"/>
        <v>6002000</v>
      </c>
      <c r="X49" s="252">
        <f t="shared" si="2"/>
        <v>0</v>
      </c>
      <c r="Y49" s="252">
        <f t="shared" si="1"/>
        <v>9409655.7165393122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5405000</v>
      </c>
      <c r="F50" s="256"/>
      <c r="G50" s="64" t="s">
        <v>59</v>
      </c>
      <c r="H50" s="357"/>
      <c r="I50" s="52">
        <f>SUM(I35:I49)</f>
        <v>2000</v>
      </c>
      <c r="K50" s="206"/>
      <c r="L50" s="212" t="s">
        <v>82</v>
      </c>
      <c r="M50" s="223">
        <v>2100000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12394660.131639637</v>
      </c>
      <c r="T50" s="252"/>
      <c r="U50" s="254">
        <f t="shared" si="4"/>
        <v>1951373.2748472998</v>
      </c>
      <c r="V50" s="254">
        <f t="shared" si="5"/>
        <v>1191982.0924999993</v>
      </c>
      <c r="W50" s="252">
        <f t="shared" si="9"/>
        <v>6002000</v>
      </c>
      <c r="X50" s="252">
        <f t="shared" si="2"/>
        <v>0</v>
      </c>
      <c r="Y50" s="252">
        <f t="shared" si="1"/>
        <v>9536015.4989869352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12466962.315740868</v>
      </c>
      <c r="T51" s="252"/>
      <c r="U51" s="254">
        <f t="shared" si="4"/>
        <v>1980887.0075957729</v>
      </c>
      <c r="V51" s="254">
        <f t="shared" si="5"/>
        <v>1217237.4899999993</v>
      </c>
      <c r="W51" s="252">
        <f t="shared" si="9"/>
        <v>6002000</v>
      </c>
      <c r="X51" s="252">
        <f t="shared" si="2"/>
        <v>0</v>
      </c>
      <c r="Y51" s="252">
        <f t="shared" si="1"/>
        <v>9663086.8133366406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600000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12539686.262582691</v>
      </c>
      <c r="T52" s="252">
        <f>$V$4</f>
        <v>2000000</v>
      </c>
      <c r="U52" s="254">
        <f t="shared" si="4"/>
        <v>2010695.8776717307</v>
      </c>
      <c r="V52" s="254">
        <f t="shared" si="5"/>
        <v>1242492.8874999993</v>
      </c>
      <c r="W52" s="252">
        <f t="shared" si="9"/>
        <v>6002000</v>
      </c>
      <c r="X52" s="252">
        <f t="shared" si="2"/>
        <v>2000000</v>
      </c>
      <c r="Y52" s="252">
        <f t="shared" si="1"/>
        <v>11790875.027754422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214</v>
      </c>
      <c r="M53" s="224">
        <v>725000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14612834.432447758</v>
      </c>
      <c r="T53" s="252"/>
      <c r="U53" s="254">
        <f t="shared" si="4"/>
        <v>2040802.836448448</v>
      </c>
      <c r="V53" s="254">
        <f t="shared" si="5"/>
        <v>1267748.2849999992</v>
      </c>
      <c r="W53" s="252">
        <f t="shared" si="9"/>
        <v>8002000</v>
      </c>
      <c r="X53" s="252">
        <f t="shared" si="2"/>
        <v>0</v>
      </c>
      <c r="Y53" s="252">
        <f t="shared" si="1"/>
        <v>9919385.5538962036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14698075.966637036</v>
      </c>
      <c r="T54" s="252"/>
      <c r="U54" s="254">
        <f t="shared" si="4"/>
        <v>2071210.8648129324</v>
      </c>
      <c r="V54" s="254">
        <f t="shared" si="5"/>
        <v>1293003.6824999992</v>
      </c>
      <c r="W54" s="252">
        <f t="shared" si="9"/>
        <v>8002000</v>
      </c>
      <c r="X54" s="252">
        <f t="shared" si="2"/>
        <v>0</v>
      </c>
      <c r="Y54" s="252">
        <f t="shared" si="1"/>
        <v>10060290.513949968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14783814.743109085</v>
      </c>
      <c r="T55" s="252"/>
      <c r="U55" s="254">
        <f t="shared" si="4"/>
        <v>2101922.9734610617</v>
      </c>
      <c r="V55" s="254">
        <f t="shared" si="5"/>
        <v>1318259.0799999991</v>
      </c>
      <c r="W55" s="252">
        <f t="shared" si="9"/>
        <v>8002000</v>
      </c>
      <c r="X55" s="252">
        <f t="shared" si="2"/>
        <v>0</v>
      </c>
      <c r="Y55" s="252">
        <f t="shared" si="1"/>
        <v>10201996.796570145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5403000</v>
      </c>
      <c r="E56" s="200"/>
      <c r="F56" s="201"/>
      <c r="G56" s="202" t="s">
        <v>158</v>
      </c>
      <c r="H56" s="203" t="s">
        <v>114</v>
      </c>
      <c r="I56" s="204">
        <f>I17-I28</f>
        <v>25255.397499999999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14870053.662443887</v>
      </c>
      <c r="T56" s="252"/>
      <c r="U56" s="254">
        <f t="shared" si="4"/>
        <v>2132942.2031956725</v>
      </c>
      <c r="V56" s="254">
        <f t="shared" si="5"/>
        <v>1343514.4774999991</v>
      </c>
      <c r="W56" s="252">
        <f t="shared" si="9"/>
        <v>8002000</v>
      </c>
      <c r="X56" s="252">
        <f t="shared" si="2"/>
        <v>0</v>
      </c>
      <c r="Y56" s="252">
        <f t="shared" si="1"/>
        <v>10344510.343139559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14956795.642141476</v>
      </c>
      <c r="T57" s="252"/>
      <c r="U57" s="254">
        <f t="shared" si="4"/>
        <v>2164271.6252276292</v>
      </c>
      <c r="V57" s="254">
        <f t="shared" si="5"/>
        <v>1368769.8749999991</v>
      </c>
      <c r="W57" s="252">
        <f t="shared" si="9"/>
        <v>8002000</v>
      </c>
      <c r="X57" s="252">
        <f t="shared" si="2"/>
        <v>0</v>
      </c>
      <c r="Y57" s="252">
        <f t="shared" si="1"/>
        <v>10487837.142369106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5823000</v>
      </c>
      <c r="E58" s="130"/>
      <c r="G58" s="115" t="s">
        <v>113</v>
      </c>
      <c r="H58" s="115" t="s">
        <v>115</v>
      </c>
      <c r="I58" s="189">
        <f>I56*12</f>
        <v>303064.77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15044043.616720635</v>
      </c>
      <c r="T58" s="252"/>
      <c r="U58" s="254">
        <f t="shared" si="4"/>
        <v>2195914.3414799054</v>
      </c>
      <c r="V58" s="254">
        <f t="shared" si="5"/>
        <v>1394025.272499999</v>
      </c>
      <c r="W58" s="252">
        <f t="shared" si="9"/>
        <v>8002000</v>
      </c>
      <c r="X58" s="252">
        <f t="shared" si="2"/>
        <v>0</v>
      </c>
      <c r="Y58" s="252">
        <f t="shared" si="1"/>
        <v>10631983.230700538</v>
      </c>
      <c r="Z58" s="255"/>
      <c r="AA58" s="255"/>
      <c r="AB58" s="255"/>
      <c r="AC58" s="255"/>
    </row>
    <row r="59" spans="2:29" s="17" customFormat="1" ht="33" x14ac:dyDescent="0.35">
      <c r="B59" s="135" t="s">
        <v>233</v>
      </c>
      <c r="C59" s="130"/>
      <c r="D59" s="101">
        <f>D56-D44</f>
        <v>3303000</v>
      </c>
      <c r="E59" s="130"/>
      <c r="F59" s="18"/>
      <c r="G59" s="115"/>
      <c r="H59" s="115"/>
      <c r="I59" s="189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15131800.537818173</v>
      </c>
      <c r="T59" s="252"/>
      <c r="U59" s="254">
        <f t="shared" si="4"/>
        <v>2227873.4848947045</v>
      </c>
      <c r="V59" s="254">
        <f t="shared" si="5"/>
        <v>1419280.669999999</v>
      </c>
      <c r="W59" s="252">
        <f t="shared" si="9"/>
        <v>8002000</v>
      </c>
      <c r="X59" s="252">
        <f t="shared" si="2"/>
        <v>0</v>
      </c>
      <c r="Y59" s="252">
        <f t="shared" si="1"/>
        <v>10776954.692712877</v>
      </c>
      <c r="Z59" s="255"/>
      <c r="AA59" s="256"/>
      <c r="AB59" s="256"/>
      <c r="AC59" s="256"/>
    </row>
    <row r="60" spans="2:29" s="17" customFormat="1" ht="33" x14ac:dyDescent="0.35">
      <c r="B60" s="136"/>
      <c r="C60" s="22"/>
      <c r="D60" s="99"/>
      <c r="E60" s="99"/>
      <c r="F60" s="22"/>
      <c r="G60" s="98"/>
      <c r="H60" s="99"/>
      <c r="I60" s="190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15220069.374288779</v>
      </c>
      <c r="T60" s="252"/>
      <c r="U60" s="254">
        <f t="shared" si="4"/>
        <v>2260152.2197436518</v>
      </c>
      <c r="V60" s="254">
        <f t="shared" si="5"/>
        <v>1444536.067499999</v>
      </c>
      <c r="W60" s="252">
        <f t="shared" si="9"/>
        <v>8002000</v>
      </c>
      <c r="X60" s="252">
        <f t="shared" si="2"/>
        <v>0</v>
      </c>
      <c r="Y60" s="252">
        <f t="shared" si="1"/>
        <v>10922757.661532428</v>
      </c>
      <c r="Z60" s="255"/>
      <c r="AA60" s="256"/>
      <c r="AB60" s="256"/>
      <c r="AC60" s="256"/>
    </row>
    <row r="61" spans="2:29" s="17" customFormat="1" ht="34" customHeight="1" x14ac:dyDescent="0.35">
      <c r="B61" s="133" t="s">
        <v>106</v>
      </c>
      <c r="C61" s="22"/>
      <c r="D61" s="116"/>
      <c r="E61" s="99"/>
      <c r="F61" s="22"/>
      <c r="G61" s="114" t="s">
        <v>1</v>
      </c>
      <c r="H61" s="99"/>
      <c r="I61" s="191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15308853.112305464</v>
      </c>
      <c r="T61" s="252"/>
      <c r="U61" s="254">
        <f t="shared" si="4"/>
        <v>2292753.7419410883</v>
      </c>
      <c r="V61" s="254">
        <f t="shared" si="5"/>
        <v>1469791.4649999989</v>
      </c>
      <c r="W61" s="252">
        <f t="shared" si="9"/>
        <v>8002000</v>
      </c>
      <c r="X61" s="252">
        <f t="shared" si="2"/>
        <v>0</v>
      </c>
      <c r="Y61" s="252">
        <f t="shared" si="1"/>
        <v>11069398.319246553</v>
      </c>
      <c r="Z61" s="255"/>
      <c r="AA61" s="256"/>
      <c r="AB61" s="256"/>
      <c r="AC61" s="256"/>
    </row>
    <row r="62" spans="2:29" s="17" customFormat="1" ht="33" x14ac:dyDescent="0.35">
      <c r="B62" s="125"/>
      <c r="C62" s="22"/>
      <c r="D62" s="18"/>
      <c r="E62" s="99"/>
      <c r="F62" s="22"/>
      <c r="G62" s="18"/>
      <c r="H62" s="99"/>
      <c r="I62" s="190"/>
      <c r="J62" s="18"/>
      <c r="K62" s="205"/>
      <c r="L62" s="212" t="s">
        <v>85</v>
      </c>
      <c r="M62" s="223">
        <v>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15398154.755460579</v>
      </c>
      <c r="T62" s="252"/>
      <c r="U62" s="254">
        <f t="shared" si="4"/>
        <v>2325681.2793604992</v>
      </c>
      <c r="V62" s="254">
        <f t="shared" si="5"/>
        <v>1495046.8624999989</v>
      </c>
      <c r="W62" s="252">
        <f t="shared" si="9"/>
        <v>8002000</v>
      </c>
      <c r="X62" s="252">
        <f t="shared" si="2"/>
        <v>0</v>
      </c>
      <c r="Y62" s="252">
        <f t="shared" si="1"/>
        <v>11216882.897321075</v>
      </c>
      <c r="Z62" s="255"/>
      <c r="AA62" s="256"/>
      <c r="AB62" s="256"/>
      <c r="AC62" s="256"/>
    </row>
    <row r="63" spans="2:29" s="17" customFormat="1" ht="45" x14ac:dyDescent="0.35">
      <c r="B63" s="234" t="s">
        <v>105</v>
      </c>
      <c r="C63" s="118"/>
      <c r="D63" s="106">
        <f>SUM(I44:I47)</f>
        <v>0</v>
      </c>
      <c r="E63" s="118"/>
      <c r="F63" s="22"/>
      <c r="G63" s="195" t="s">
        <v>1</v>
      </c>
      <c r="H63" s="195" t="s">
        <v>114</v>
      </c>
      <c r="I63" s="196">
        <f>H5</f>
        <v>9593.3333333333339</v>
      </c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15487977.324867433</v>
      </c>
      <c r="T63" s="252"/>
      <c r="U63" s="254">
        <f t="shared" si="4"/>
        <v>2358938.0921541043</v>
      </c>
      <c r="V63" s="254">
        <f t="shared" si="5"/>
        <v>1520302.2599999988</v>
      </c>
      <c r="W63" s="252">
        <f t="shared" si="9"/>
        <v>8002000</v>
      </c>
      <c r="X63" s="252">
        <f t="shared" si="2"/>
        <v>0</v>
      </c>
      <c r="Y63" s="252">
        <f t="shared" si="1"/>
        <v>11365217.677021533</v>
      </c>
      <c r="Z63" s="255"/>
      <c r="AA63" s="256"/>
      <c r="AB63" s="256"/>
      <c r="AC63" s="256"/>
    </row>
    <row r="64" spans="2:29" s="17" customFormat="1" ht="33" x14ac:dyDescent="0.35">
      <c r="B64" s="235"/>
      <c r="C64" s="118"/>
      <c r="D64" s="236"/>
      <c r="E64" s="118"/>
      <c r="F64" s="22"/>
      <c r="G64" s="18"/>
      <c r="H64" s="229"/>
      <c r="I64" s="147"/>
      <c r="J64" s="18"/>
      <c r="K64" s="205"/>
      <c r="L64" s="212" t="s">
        <v>223</v>
      </c>
      <c r="M64" s="223">
        <v>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15578323.859262493</v>
      </c>
      <c r="T64" s="252">
        <f>$V$4</f>
        <v>2000000</v>
      </c>
      <c r="U64" s="254">
        <f t="shared" si="4"/>
        <v>2392527.4730756455</v>
      </c>
      <c r="V64" s="254">
        <f t="shared" si="5"/>
        <v>1545557.6574999988</v>
      </c>
      <c r="W64" s="252">
        <f t="shared" si="9"/>
        <v>8002000</v>
      </c>
      <c r="X64" s="252">
        <f t="shared" si="2"/>
        <v>2000000</v>
      </c>
      <c r="Y64" s="252">
        <f t="shared" si="1"/>
        <v>13514408.989838138</v>
      </c>
      <c r="Z64" s="255"/>
      <c r="AA64" s="256"/>
      <c r="AB64" s="256"/>
      <c r="AC64" s="256"/>
    </row>
    <row r="65" spans="2:29" s="17" customFormat="1" ht="33" x14ac:dyDescent="0.35">
      <c r="B65" s="234" t="s">
        <v>100</v>
      </c>
      <c r="C65" s="118"/>
      <c r="D65" s="106">
        <f>SUM(E44:E47)</f>
        <v>4375000</v>
      </c>
      <c r="E65" s="118"/>
      <c r="F65" s="22"/>
      <c r="G65" s="117" t="s">
        <v>126</v>
      </c>
      <c r="H65" s="117" t="s">
        <v>114</v>
      </c>
      <c r="I65" s="192">
        <f>I28-H5</f>
        <v>-2255.3975000000009</v>
      </c>
      <c r="J65" s="18"/>
      <c r="K65" s="205"/>
      <c r="L65" s="212" t="s">
        <v>224</v>
      </c>
      <c r="M65" s="223">
        <v>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17669197.415108189</v>
      </c>
      <c r="T65" s="252"/>
      <c r="U65" s="254">
        <f t="shared" si="4"/>
        <v>2426452.7478064019</v>
      </c>
      <c r="V65" s="254">
        <f t="shared" si="5"/>
        <v>1570813.0549999988</v>
      </c>
      <c r="W65" s="252">
        <f t="shared" si="9"/>
        <v>10002000</v>
      </c>
      <c r="X65" s="252">
        <f t="shared" si="2"/>
        <v>0</v>
      </c>
      <c r="Y65" s="252">
        <f t="shared" si="1"/>
        <v>11664463.217914589</v>
      </c>
      <c r="Z65" s="255"/>
      <c r="AA65" s="256"/>
      <c r="AB65" s="256"/>
      <c r="AC65" s="256"/>
    </row>
    <row r="66" spans="2:29" ht="33" x14ac:dyDescent="0.35">
      <c r="B66" s="235"/>
      <c r="C66" s="118"/>
      <c r="D66" s="236"/>
      <c r="E66" s="118"/>
      <c r="F66" s="22"/>
      <c r="G66" s="229"/>
      <c r="H66" s="229"/>
      <c r="I66" s="231"/>
      <c r="K66" s="205"/>
      <c r="L66" s="212" t="s">
        <v>225</v>
      </c>
      <c r="M66" s="223">
        <v>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17772267.733362988</v>
      </c>
      <c r="T66" s="252"/>
      <c r="U66" s="254">
        <f t="shared" si="4"/>
        <v>2460717.2752844659</v>
      </c>
      <c r="V66" s="254">
        <f t="shared" si="5"/>
        <v>1596068.4524999987</v>
      </c>
      <c r="W66" s="252">
        <f t="shared" si="9"/>
        <v>10002000</v>
      </c>
      <c r="X66" s="252">
        <f t="shared" si="2"/>
        <v>0</v>
      </c>
      <c r="Y66" s="252">
        <f t="shared" si="1"/>
        <v>11827053.46114745</v>
      </c>
      <c r="Z66" s="255"/>
      <c r="AA66" s="255"/>
      <c r="AB66" s="255"/>
      <c r="AC66" s="255"/>
    </row>
    <row r="67" spans="2:29" ht="34" thickBot="1" x14ac:dyDescent="0.4">
      <c r="B67" s="234" t="s">
        <v>101</v>
      </c>
      <c r="C67" s="118"/>
      <c r="D67" s="237">
        <f>SUM(D44:D47)</f>
        <v>4375000</v>
      </c>
      <c r="E67" s="118"/>
      <c r="G67" s="117" t="s">
        <v>125</v>
      </c>
      <c r="H67" s="117"/>
      <c r="I67" s="192">
        <f>I65*12/0.08</f>
        <v>-338309.62500000012</v>
      </c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8"/>
      <c r="C68" s="118"/>
      <c r="D68" s="237"/>
      <c r="E68" s="118"/>
      <c r="G68" s="113" t="s">
        <v>181</v>
      </c>
      <c r="H68" s="99"/>
      <c r="I68" s="262"/>
      <c r="K68" s="205"/>
      <c r="L68" s="206"/>
      <c r="M68" s="205"/>
      <c r="N68" s="205"/>
    </row>
    <row r="69" spans="2:29" ht="25" x14ac:dyDescent="0.2">
      <c r="B69" s="234" t="s">
        <v>29</v>
      </c>
      <c r="C69" s="118"/>
      <c r="D69" s="239">
        <f>D63/D65</f>
        <v>0</v>
      </c>
      <c r="E69" s="118"/>
      <c r="H69" s="99"/>
      <c r="I69" s="263"/>
    </row>
    <row r="70" spans="2:29" ht="33" x14ac:dyDescent="0.35">
      <c r="B70" s="234"/>
      <c r="C70" s="118"/>
      <c r="D70" s="240"/>
      <c r="E70" s="118"/>
      <c r="G70" s="114" t="s">
        <v>116</v>
      </c>
      <c r="H70" s="99"/>
      <c r="I70" s="147"/>
      <c r="L70" s="119"/>
      <c r="M70" s="120"/>
    </row>
    <row r="71" spans="2:29" ht="29" customHeight="1" x14ac:dyDescent="0.35">
      <c r="B71" s="234" t="s">
        <v>121</v>
      </c>
      <c r="C71" s="118"/>
      <c r="D71" s="237">
        <f>(80%-D69)*D65</f>
        <v>3500000</v>
      </c>
      <c r="E71" s="118"/>
      <c r="G71" s="114"/>
      <c r="H71" s="99"/>
      <c r="I71" s="147"/>
      <c r="L71" s="247"/>
      <c r="M71" s="120"/>
    </row>
    <row r="72" spans="2:29" ht="29" customHeight="1" x14ac:dyDescent="0.35">
      <c r="B72" s="234"/>
      <c r="C72" s="118"/>
      <c r="D72" s="240"/>
      <c r="E72" s="118"/>
      <c r="G72" s="603" t="s">
        <v>162</v>
      </c>
      <c r="H72" s="604"/>
      <c r="I72" s="233">
        <f>SUM(E34:E35)</f>
        <v>106000</v>
      </c>
      <c r="L72" s="246"/>
      <c r="M72" s="248"/>
    </row>
    <row r="73" spans="2:29" ht="29" customHeight="1" x14ac:dyDescent="0.35">
      <c r="B73" s="137"/>
      <c r="E73" s="99"/>
      <c r="G73" s="232" t="s">
        <v>163</v>
      </c>
      <c r="H73" s="232"/>
      <c r="I73" s="233">
        <f>SUM(E37:E39)</f>
        <v>924000</v>
      </c>
      <c r="L73" s="246"/>
      <c r="M73" s="119"/>
    </row>
    <row r="74" spans="2:29" ht="29" customHeight="1" x14ac:dyDescent="0.35">
      <c r="B74" s="133" t="s">
        <v>111</v>
      </c>
      <c r="E74" s="99"/>
      <c r="G74" s="118" t="s">
        <v>154</v>
      </c>
      <c r="H74" s="118"/>
      <c r="I74" s="193">
        <f>SUM(I72:I73)</f>
        <v>1030000</v>
      </c>
      <c r="L74" s="246"/>
      <c r="M74" s="119"/>
      <c r="N74" s="119"/>
    </row>
    <row r="75" spans="2:29" ht="29" customHeight="1" x14ac:dyDescent="0.35">
      <c r="B75" s="125"/>
      <c r="E75" s="99"/>
      <c r="H75" s="99"/>
      <c r="I75" s="147"/>
      <c r="L75" s="119"/>
      <c r="M75" s="119"/>
      <c r="N75" s="119"/>
    </row>
    <row r="76" spans="2:29" ht="29" customHeight="1" x14ac:dyDescent="0.35">
      <c r="B76" s="138" t="s">
        <v>128</v>
      </c>
      <c r="C76" s="131"/>
      <c r="D76" s="102">
        <f>D79-D63</f>
        <v>3441893.8170421529</v>
      </c>
      <c r="E76" s="131"/>
      <c r="G76" s="114" t="s">
        <v>127</v>
      </c>
      <c r="H76" s="99"/>
      <c r="I76" s="147"/>
      <c r="L76" s="247"/>
      <c r="M76" s="120"/>
      <c r="N76" s="119"/>
    </row>
    <row r="77" spans="2:29" ht="29" customHeight="1" x14ac:dyDescent="0.35">
      <c r="B77" s="137" t="s">
        <v>112</v>
      </c>
      <c r="E77" s="99"/>
      <c r="G77" s="22"/>
      <c r="H77" s="99"/>
      <c r="I77" s="147"/>
      <c r="L77" s="246"/>
      <c r="M77" s="248"/>
      <c r="N77" s="119"/>
    </row>
    <row r="78" spans="2:29" ht="29" customHeight="1" x14ac:dyDescent="0.35">
      <c r="B78" s="137"/>
      <c r="E78" s="113"/>
      <c r="G78" s="601" t="s">
        <v>165</v>
      </c>
      <c r="H78" s="602"/>
      <c r="I78" s="194">
        <f>SUM(E34:E39)/(I28-H5)</f>
        <v>-456.68224780775876</v>
      </c>
      <c r="L78" s="246"/>
      <c r="M78" s="119"/>
    </row>
    <row r="79" spans="2:29" ht="29" customHeight="1" x14ac:dyDescent="0.35">
      <c r="B79" s="138" t="s">
        <v>117</v>
      </c>
      <c r="C79" s="131"/>
      <c r="D79" s="102">
        <f>PV(8%/12,30*12,H22,0)*-1</f>
        <v>3441893.8170421529</v>
      </c>
      <c r="E79" s="131"/>
      <c r="G79" s="601" t="s">
        <v>166</v>
      </c>
      <c r="H79" s="602"/>
      <c r="I79" s="194">
        <f>SUM(E34:E39)/(I28-H5)/12</f>
        <v>-38.056853983979899</v>
      </c>
      <c r="L79" s="246"/>
      <c r="M79" s="119"/>
    </row>
    <row r="80" spans="2:29" ht="29" customHeight="1" x14ac:dyDescent="0.2">
      <c r="B80" s="137" t="s">
        <v>153</v>
      </c>
      <c r="D80" s="99"/>
      <c r="E80" s="113"/>
      <c r="G80" s="601" t="s">
        <v>161</v>
      </c>
      <c r="H80" s="602"/>
      <c r="I80" s="194">
        <f>H22/(I28-H5)</f>
        <v>-11.197758931629563</v>
      </c>
    </row>
    <row r="81" spans="2:9" ht="29" customHeight="1" thickBot="1" x14ac:dyDescent="0.25">
      <c r="B81" s="139"/>
      <c r="C81" s="140"/>
      <c r="D81" s="141"/>
      <c r="E81" s="142"/>
      <c r="F81" s="140"/>
      <c r="G81" s="140"/>
      <c r="H81" s="140"/>
      <c r="I81" s="129"/>
    </row>
    <row r="82" spans="2:9" ht="43" customHeight="1" x14ac:dyDescent="0.2">
      <c r="D82" s="99"/>
      <c r="E82" s="22"/>
    </row>
    <row r="83" spans="2:9" x14ac:dyDescent="0.2">
      <c r="D83" s="99"/>
      <c r="E83" s="98"/>
      <c r="F83" s="99"/>
      <c r="G83" s="99"/>
      <c r="H83" s="99"/>
    </row>
    <row r="84" spans="2:9" ht="35" x14ac:dyDescent="0.35">
      <c r="B84" s="270"/>
      <c r="C84" s="270"/>
      <c r="D84" s="273"/>
      <c r="E84" s="270"/>
      <c r="F84" s="271"/>
      <c r="G84" s="271"/>
      <c r="H84" s="271"/>
    </row>
    <row r="85" spans="2:9" ht="35" x14ac:dyDescent="0.35">
      <c r="B85" s="277" t="s">
        <v>197</v>
      </c>
      <c r="C85" s="278"/>
      <c r="D85" s="279"/>
      <c r="E85" s="289"/>
      <c r="F85" s="271"/>
      <c r="G85" s="275" t="s">
        <v>209</v>
      </c>
      <c r="H85" s="271"/>
    </row>
    <row r="86" spans="2:9" ht="35" x14ac:dyDescent="0.35">
      <c r="B86" s="270" t="s">
        <v>189</v>
      </c>
      <c r="C86" s="270"/>
      <c r="D86" s="273">
        <v>0</v>
      </c>
      <c r="E86" s="270"/>
      <c r="F86" s="271"/>
      <c r="G86" s="276">
        <f>D113</f>
        <v>88055.23</v>
      </c>
      <c r="H86" s="271"/>
    </row>
    <row r="87" spans="2:9" ht="35" x14ac:dyDescent="0.35">
      <c r="B87" s="270" t="s">
        <v>226</v>
      </c>
      <c r="C87" s="270"/>
      <c r="D87" s="273">
        <f>M30</f>
        <v>875.73250000000007</v>
      </c>
      <c r="E87" s="270"/>
      <c r="F87" s="271"/>
      <c r="G87" s="271"/>
      <c r="H87" s="271"/>
    </row>
    <row r="88" spans="2:9" ht="35" x14ac:dyDescent="0.35">
      <c r="B88" s="270" t="s">
        <v>190</v>
      </c>
      <c r="C88" s="270"/>
      <c r="D88" s="273">
        <f>M31</f>
        <v>2120</v>
      </c>
      <c r="E88" s="270"/>
      <c r="F88" s="271"/>
      <c r="G88" s="275" t="s">
        <v>210</v>
      </c>
      <c r="H88" s="271"/>
    </row>
    <row r="89" spans="2:9" ht="35" x14ac:dyDescent="0.35">
      <c r="B89" s="270" t="s">
        <v>191</v>
      </c>
      <c r="D89" s="273">
        <v>500</v>
      </c>
      <c r="G89" s="270" t="s">
        <v>178</v>
      </c>
      <c r="H89" s="273">
        <f>SUM(M40:M41)</f>
        <v>106000</v>
      </c>
    </row>
    <row r="90" spans="2:9" ht="35" x14ac:dyDescent="0.35">
      <c r="B90" s="270" t="s">
        <v>192</v>
      </c>
      <c r="D90" s="273">
        <v>500</v>
      </c>
      <c r="G90" s="270" t="s">
        <v>124</v>
      </c>
      <c r="H90" s="273">
        <f>SUM(M43:M45)</f>
        <v>924000</v>
      </c>
    </row>
    <row r="91" spans="2:9" ht="35" x14ac:dyDescent="0.35">
      <c r="B91" s="270" t="s">
        <v>193</v>
      </c>
      <c r="C91" s="270"/>
      <c r="D91" s="273">
        <f>M33</f>
        <v>1514.7033333333331</v>
      </c>
      <c r="E91" s="270"/>
      <c r="F91" s="271"/>
      <c r="G91" s="270" t="s">
        <v>211</v>
      </c>
      <c r="H91" s="273">
        <f>SUM(D45:D47)</f>
        <v>2275000</v>
      </c>
      <c r="I91" s="270" t="s">
        <v>212</v>
      </c>
    </row>
    <row r="92" spans="2:9" ht="35" x14ac:dyDescent="0.35">
      <c r="B92" s="270"/>
      <c r="C92" s="270"/>
      <c r="D92" s="273"/>
      <c r="E92" s="270"/>
      <c r="F92" s="271"/>
      <c r="G92" s="270"/>
      <c r="H92" s="273"/>
    </row>
    <row r="93" spans="2:9" ht="35" x14ac:dyDescent="0.35">
      <c r="B93" s="270"/>
      <c r="C93" s="270"/>
      <c r="D93" s="273"/>
      <c r="E93" s="270"/>
      <c r="F93" s="271"/>
      <c r="G93" s="272" t="s">
        <v>215</v>
      </c>
      <c r="H93" s="274">
        <f>SUM(H89:H92)</f>
        <v>3305000</v>
      </c>
    </row>
    <row r="94" spans="2:9" ht="35" x14ac:dyDescent="0.35">
      <c r="B94" s="270" t="s">
        <v>194</v>
      </c>
      <c r="C94" s="270"/>
      <c r="D94" s="273">
        <f>SUM(D86:D93)</f>
        <v>5510.435833333333</v>
      </c>
      <c r="E94" s="270"/>
      <c r="F94" s="271"/>
      <c r="G94" s="272" t="s">
        <v>232</v>
      </c>
      <c r="H94" s="273"/>
    </row>
    <row r="95" spans="2:9" ht="35" x14ac:dyDescent="0.35">
      <c r="B95" s="270" t="s">
        <v>195</v>
      </c>
      <c r="C95" s="270"/>
      <c r="D95" s="273">
        <f>D94*12</f>
        <v>66125.23</v>
      </c>
      <c r="E95" s="270"/>
      <c r="F95" s="271"/>
      <c r="G95" s="270"/>
      <c r="H95" s="273"/>
    </row>
    <row r="96" spans="2:9" ht="35" x14ac:dyDescent="0.35">
      <c r="B96" s="272" t="s">
        <v>196</v>
      </c>
      <c r="C96" s="272"/>
      <c r="D96" s="274">
        <f>D95/0.06</f>
        <v>1102087.1666666667</v>
      </c>
      <c r="E96" s="270"/>
      <c r="F96" s="271"/>
      <c r="G96" s="271"/>
      <c r="H96" s="271"/>
    </row>
    <row r="97" spans="2:8" ht="35" x14ac:dyDescent="0.35">
      <c r="B97" s="270"/>
      <c r="C97" s="270"/>
      <c r="D97" s="273"/>
      <c r="E97" s="270"/>
      <c r="F97" s="271"/>
      <c r="G97" s="271"/>
      <c r="H97" s="271"/>
    </row>
    <row r="98" spans="2:8" ht="35" x14ac:dyDescent="0.35">
      <c r="B98" s="280" t="s">
        <v>198</v>
      </c>
      <c r="C98" s="281"/>
      <c r="D98" s="282"/>
      <c r="E98" s="289"/>
      <c r="F98" s="271"/>
      <c r="G98" s="271"/>
      <c r="H98" s="271"/>
    </row>
    <row r="99" spans="2:8" ht="35" x14ac:dyDescent="0.35">
      <c r="B99" s="270" t="s">
        <v>227</v>
      </c>
      <c r="C99" s="270"/>
      <c r="D99" s="273">
        <f>M36/2</f>
        <v>550</v>
      </c>
      <c r="E99" s="270"/>
      <c r="F99" s="271"/>
      <c r="G99" s="271"/>
      <c r="H99" s="271"/>
    </row>
    <row r="100" spans="2:8" ht="35" x14ac:dyDescent="0.35">
      <c r="B100" s="270" t="s">
        <v>229</v>
      </c>
      <c r="D100" s="273">
        <f>M34/2</f>
        <v>550</v>
      </c>
      <c r="E100" s="270"/>
      <c r="F100" s="271"/>
      <c r="G100" s="271"/>
      <c r="H100" s="271"/>
    </row>
    <row r="101" spans="2:8" ht="35" x14ac:dyDescent="0.35">
      <c r="B101" s="270" t="s">
        <v>230</v>
      </c>
      <c r="D101" s="273">
        <f>M33/2</f>
        <v>757.35166666666657</v>
      </c>
      <c r="E101" s="270"/>
      <c r="F101" s="271"/>
      <c r="G101" s="271"/>
      <c r="H101" s="271"/>
    </row>
    <row r="102" spans="2:8" ht="35" x14ac:dyDescent="0.35">
      <c r="B102" s="270" t="s">
        <v>231</v>
      </c>
      <c r="C102" s="270"/>
      <c r="D102" s="273">
        <f>D94</f>
        <v>5510.435833333333</v>
      </c>
      <c r="E102" s="270"/>
      <c r="F102" s="271"/>
      <c r="G102" s="271"/>
      <c r="H102" s="271"/>
    </row>
    <row r="103" spans="2:8" ht="35" x14ac:dyDescent="0.35">
      <c r="B103" s="270"/>
      <c r="C103" s="270"/>
      <c r="D103" s="273"/>
      <c r="E103" s="270"/>
      <c r="F103" s="271"/>
      <c r="G103" s="271"/>
      <c r="H103" s="271"/>
    </row>
    <row r="104" spans="2:8" ht="35" x14ac:dyDescent="0.35">
      <c r="B104" s="270"/>
      <c r="C104" s="270"/>
      <c r="D104" s="273"/>
      <c r="E104" s="270"/>
      <c r="F104" s="271"/>
      <c r="G104" s="271"/>
      <c r="H104" s="271"/>
    </row>
    <row r="105" spans="2:8" ht="35" x14ac:dyDescent="0.35">
      <c r="B105" s="270" t="s">
        <v>194</v>
      </c>
      <c r="C105" s="270"/>
      <c r="D105" s="273">
        <f>SUM(D99:D103)</f>
        <v>7367.7874999999995</v>
      </c>
      <c r="E105" s="270"/>
      <c r="F105" s="271"/>
      <c r="G105" s="271"/>
      <c r="H105" s="271"/>
    </row>
    <row r="106" spans="2:8" ht="35" x14ac:dyDescent="0.35">
      <c r="B106" s="270" t="s">
        <v>195</v>
      </c>
      <c r="C106" s="270"/>
      <c r="D106" s="273">
        <f>D105*12</f>
        <v>88413.45</v>
      </c>
      <c r="E106" s="270"/>
      <c r="F106" s="271"/>
      <c r="G106" s="271"/>
      <c r="H106" s="271"/>
    </row>
    <row r="107" spans="2:8" ht="35" x14ac:dyDescent="0.35">
      <c r="B107" s="272" t="s">
        <v>204</v>
      </c>
      <c r="C107" s="272"/>
      <c r="D107" s="274">
        <f>D106/0.06</f>
        <v>1473557.5</v>
      </c>
      <c r="E107" s="270"/>
      <c r="F107" s="271"/>
      <c r="G107" s="271"/>
      <c r="H107" s="271"/>
    </row>
    <row r="108" spans="2:8" ht="35" x14ac:dyDescent="0.35">
      <c r="B108" s="270"/>
      <c r="C108" s="270"/>
      <c r="D108" s="273"/>
      <c r="E108" s="270"/>
      <c r="F108" s="271"/>
      <c r="G108" s="271"/>
      <c r="H108" s="271"/>
    </row>
    <row r="109" spans="2:8" ht="35" x14ac:dyDescent="0.35">
      <c r="B109" s="283" t="s">
        <v>199</v>
      </c>
      <c r="C109" s="284"/>
      <c r="D109" s="285"/>
      <c r="E109" s="289"/>
      <c r="F109" s="271"/>
      <c r="G109" s="271"/>
      <c r="H109" s="271"/>
    </row>
    <row r="110" spans="2:8" ht="35" x14ac:dyDescent="0.35">
      <c r="B110" s="270" t="s">
        <v>228</v>
      </c>
      <c r="C110" s="270"/>
      <c r="D110" s="273">
        <f>M28</f>
        <v>7337.935833333333</v>
      </c>
      <c r="E110" s="270"/>
      <c r="F110" s="271"/>
      <c r="G110" s="271"/>
      <c r="H110" s="271"/>
    </row>
    <row r="111" spans="2:8" ht="35" x14ac:dyDescent="0.35">
      <c r="B111" s="270"/>
      <c r="C111" s="270"/>
      <c r="D111" s="273"/>
      <c r="E111" s="270"/>
      <c r="F111" s="271"/>
      <c r="G111" s="271"/>
      <c r="H111" s="271"/>
    </row>
    <row r="112" spans="2:8" ht="35" x14ac:dyDescent="0.35">
      <c r="B112" s="270" t="s">
        <v>194</v>
      </c>
      <c r="C112" s="270"/>
      <c r="D112" s="273">
        <f>SUM(D110:D110)</f>
        <v>7337.935833333333</v>
      </c>
      <c r="E112" s="270"/>
      <c r="F112" s="271"/>
      <c r="G112" s="271"/>
      <c r="H112" s="271"/>
    </row>
    <row r="113" spans="2:8" ht="35" x14ac:dyDescent="0.35">
      <c r="B113" s="270" t="s">
        <v>195</v>
      </c>
      <c r="C113" s="270"/>
      <c r="D113" s="273">
        <f>D112*12</f>
        <v>88055.23</v>
      </c>
      <c r="E113" s="270"/>
      <c r="F113" s="271"/>
      <c r="G113" s="271"/>
      <c r="H113" s="271"/>
    </row>
    <row r="114" spans="2:8" ht="35" x14ac:dyDescent="0.35">
      <c r="B114" s="272" t="s">
        <v>205</v>
      </c>
      <c r="C114" s="272"/>
      <c r="D114" s="274">
        <f>D113/0.06</f>
        <v>1467587.1666666667</v>
      </c>
      <c r="E114" s="270"/>
      <c r="F114" s="271"/>
      <c r="G114" s="271"/>
      <c r="H114" s="271"/>
    </row>
    <row r="115" spans="2:8" ht="35" x14ac:dyDescent="0.35">
      <c r="B115" s="270"/>
      <c r="C115" s="270"/>
      <c r="D115" s="271"/>
      <c r="E115" s="270"/>
      <c r="F115" s="271"/>
      <c r="G115" s="271"/>
      <c r="H115" s="271"/>
    </row>
    <row r="116" spans="2:8" ht="35" x14ac:dyDescent="0.35">
      <c r="B116" s="286" t="s">
        <v>200</v>
      </c>
      <c r="C116" s="287"/>
      <c r="D116" s="288"/>
      <c r="E116" s="270"/>
      <c r="F116" s="271"/>
      <c r="G116" s="271"/>
      <c r="H116" s="271"/>
    </row>
    <row r="117" spans="2:8" ht="35" x14ac:dyDescent="0.35">
      <c r="B117" s="270" t="s">
        <v>201</v>
      </c>
      <c r="C117" s="270"/>
      <c r="D117" s="273">
        <f>D112</f>
        <v>7337.935833333333</v>
      </c>
      <c r="E117" s="270"/>
      <c r="F117" s="271"/>
      <c r="G117" s="271"/>
      <c r="H117" s="271"/>
    </row>
    <row r="118" spans="2:8" ht="35" x14ac:dyDescent="0.35">
      <c r="B118" s="270" t="s">
        <v>203</v>
      </c>
      <c r="C118" s="270"/>
      <c r="D118" s="273">
        <v>8000</v>
      </c>
      <c r="E118" s="270"/>
      <c r="F118" s="271"/>
      <c r="G118" s="271"/>
      <c r="H118" s="271"/>
    </row>
    <row r="119" spans="2:8" ht="35" x14ac:dyDescent="0.35">
      <c r="B119" s="270" t="s">
        <v>216</v>
      </c>
      <c r="C119" s="270"/>
      <c r="D119" s="273">
        <v>2000</v>
      </c>
      <c r="E119" s="270"/>
      <c r="F119" s="271"/>
      <c r="G119" s="271"/>
      <c r="H119" s="271"/>
    </row>
    <row r="120" spans="2:8" ht="35" x14ac:dyDescent="0.35">
      <c r="B120" s="270" t="s">
        <v>202</v>
      </c>
      <c r="D120" s="273">
        <v>2000</v>
      </c>
      <c r="E120" s="270"/>
      <c r="F120" s="271"/>
      <c r="G120" s="271"/>
      <c r="H120" s="271"/>
    </row>
    <row r="121" spans="2:8" ht="35" x14ac:dyDescent="0.35">
      <c r="B121" s="270" t="s">
        <v>208</v>
      </c>
      <c r="D121" s="273">
        <v>27000</v>
      </c>
      <c r="E121" s="270"/>
      <c r="F121" s="271"/>
      <c r="G121" s="271"/>
      <c r="H121" s="271"/>
    </row>
    <row r="122" spans="2:8" ht="35" x14ac:dyDescent="0.35">
      <c r="B122" s="270" t="s">
        <v>207</v>
      </c>
      <c r="C122" s="270"/>
      <c r="D122" s="273">
        <v>10000</v>
      </c>
      <c r="E122" s="270"/>
      <c r="F122" s="271"/>
      <c r="G122" s="271"/>
      <c r="H122" s="271"/>
    </row>
    <row r="123" spans="2:8" ht="35" x14ac:dyDescent="0.35">
      <c r="B123" s="270"/>
      <c r="C123" s="270"/>
      <c r="D123" s="273"/>
      <c r="E123" s="270"/>
      <c r="F123" s="271"/>
      <c r="G123" s="271"/>
      <c r="H123" s="271"/>
    </row>
    <row r="124" spans="2:8" ht="35" x14ac:dyDescent="0.35">
      <c r="B124" s="270" t="s">
        <v>194</v>
      </c>
      <c r="C124" s="270"/>
      <c r="D124" s="273">
        <f>SUM(D117:D122)</f>
        <v>56337.935833333337</v>
      </c>
      <c r="E124" s="270"/>
      <c r="F124" s="271"/>
      <c r="G124" s="271"/>
      <c r="H124" s="271"/>
    </row>
    <row r="125" spans="2:8" ht="35" x14ac:dyDescent="0.35">
      <c r="B125" s="270" t="s">
        <v>195</v>
      </c>
      <c r="C125" s="270"/>
      <c r="D125" s="273">
        <f>D124*12</f>
        <v>676055.23</v>
      </c>
      <c r="E125" s="270"/>
      <c r="F125" s="271"/>
      <c r="G125" s="271"/>
      <c r="H125" s="271"/>
    </row>
    <row r="126" spans="2:8" ht="35" x14ac:dyDescent="0.35">
      <c r="B126" s="272" t="s">
        <v>206</v>
      </c>
      <c r="C126" s="272"/>
      <c r="D126" s="274">
        <f>D125/0.05</f>
        <v>13521104.6</v>
      </c>
    </row>
  </sheetData>
  <mergeCells count="8">
    <mergeCell ref="G79:H79"/>
    <mergeCell ref="G80:H80"/>
    <mergeCell ref="B2:I2"/>
    <mergeCell ref="L2:M2"/>
    <mergeCell ref="B30:I30"/>
    <mergeCell ref="B52:I52"/>
    <mergeCell ref="G72:H72"/>
    <mergeCell ref="G78:H7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B66A-93EC-1542-AF1E-27DFC3642039}">
  <dimension ref="B1:AI126"/>
  <sheetViews>
    <sheetView showGridLines="0" topLeftCell="A31" zoomScale="50" zoomScaleNormal="50" workbookViewId="0">
      <selection activeCell="M66" sqref="L63:M66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6" style="18" customWidth="1"/>
    <col min="5" max="5" width="34.1640625" style="17" customWidth="1"/>
    <col min="6" max="6" width="8.33203125" style="18" customWidth="1"/>
    <col min="7" max="7" width="50.3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10000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3000000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19"/>
      <c r="C5" s="29"/>
      <c r="D5" s="20"/>
      <c r="E5" s="21"/>
      <c r="F5" s="29"/>
      <c r="G5" s="65" t="s">
        <v>155</v>
      </c>
      <c r="H5" s="104">
        <f>SUM(E8:E16)</f>
        <v>5942.0833333333339</v>
      </c>
      <c r="I5" s="143">
        <f>H5*12</f>
        <v>71305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97" t="s">
        <v>40</v>
      </c>
      <c r="C6" s="164">
        <f>D6*12</f>
        <v>276000</v>
      </c>
      <c r="D6" s="165">
        <f>M6</f>
        <v>23000</v>
      </c>
      <c r="E6" s="166"/>
      <c r="F6" s="61"/>
      <c r="G6" s="39"/>
      <c r="H6" s="55"/>
      <c r="I6" s="56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SUM(E44:E47)</f>
        <v>4485000</v>
      </c>
      <c r="T7" s="252"/>
      <c r="U7" s="252">
        <f>SUM(E37:E39)</f>
        <v>922000</v>
      </c>
      <c r="V7" s="252">
        <f>$E$34</f>
        <v>11431</v>
      </c>
      <c r="W7" s="252">
        <f>$I$50</f>
        <v>764000</v>
      </c>
      <c r="X7" s="252">
        <f>T7</f>
        <v>0</v>
      </c>
      <c r="Y7" s="252">
        <f t="shared" ref="Y7:Y66" si="1">SUM(S7:V7)-W7</f>
        <v>4654431</v>
      </c>
      <c r="Z7" s="255"/>
      <c r="AA7" s="255"/>
      <c r="AB7" s="255"/>
      <c r="AC7" s="255"/>
    </row>
    <row r="8" spans="2:35" ht="33" x14ac:dyDescent="0.35">
      <c r="B8" s="97" t="s">
        <v>42</v>
      </c>
      <c r="C8" s="167"/>
      <c r="D8" s="165">
        <f>M8</f>
        <v>10</v>
      </c>
      <c r="E8" s="169">
        <f>D8</f>
        <v>10</v>
      </c>
      <c r="F8" s="54"/>
      <c r="G8" s="97"/>
      <c r="H8" s="44"/>
      <c r="I8" s="47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4511162.5</v>
      </c>
      <c r="T8" s="252"/>
      <c r="U8" s="254">
        <f>($V$2/12+1)*U7+$V$3</f>
        <v>939683.33333333326</v>
      </c>
      <c r="V8" s="254">
        <f>V7+$I$56</f>
        <v>33035.147499999999</v>
      </c>
      <c r="W8" s="252">
        <f>W7+X7</f>
        <v>764000</v>
      </c>
      <c r="X8" s="252">
        <f t="shared" ref="X8:X66" si="2">T8</f>
        <v>0</v>
      </c>
      <c r="Y8" s="252">
        <f t="shared" si="1"/>
        <v>4719880.980833333</v>
      </c>
      <c r="Z8" s="255"/>
      <c r="AA8" s="255"/>
      <c r="AB8" s="255"/>
      <c r="AC8" s="255"/>
    </row>
    <row r="9" spans="2:35" ht="33" x14ac:dyDescent="0.35">
      <c r="B9" s="97" t="s">
        <v>43</v>
      </c>
      <c r="C9" s="167"/>
      <c r="D9" s="165">
        <f>M9</f>
        <v>830</v>
      </c>
      <c r="E9" s="169">
        <f>D9</f>
        <v>830</v>
      </c>
      <c r="F9" s="54"/>
      <c r="G9" s="97"/>
      <c r="H9" s="44"/>
      <c r="I9" s="47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4537477.614583333</v>
      </c>
      <c r="T9" s="252"/>
      <c r="U9" s="254">
        <f t="shared" ref="U9:U66" si="4">($V$2/12+1)*U8+$V$3</f>
        <v>957514.02777777764</v>
      </c>
      <c r="V9" s="254">
        <f t="shared" ref="V9:V66" si="5">V8+$I$56</f>
        <v>54639.294999999998</v>
      </c>
      <c r="W9" s="252">
        <f t="shared" ref="W9:W66" si="6">W8+X8</f>
        <v>764000</v>
      </c>
      <c r="X9" s="252">
        <f t="shared" si="2"/>
        <v>0</v>
      </c>
      <c r="Y9" s="252">
        <f t="shared" si="1"/>
        <v>4785630.9373611109</v>
      </c>
      <c r="Z9" s="255"/>
      <c r="AA9" s="255"/>
      <c r="AB9" s="255"/>
      <c r="AC9" s="255"/>
    </row>
    <row r="10" spans="2:35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4563946.2340017362</v>
      </c>
      <c r="T10" s="252"/>
      <c r="U10" s="254">
        <f t="shared" si="4"/>
        <v>975493.31134259247</v>
      </c>
      <c r="V10" s="254">
        <f t="shared" si="5"/>
        <v>76243.442500000005</v>
      </c>
      <c r="W10" s="252">
        <f t="shared" si="6"/>
        <v>764000</v>
      </c>
      <c r="X10" s="252">
        <f t="shared" si="2"/>
        <v>0</v>
      </c>
      <c r="Y10" s="252">
        <f t="shared" si="1"/>
        <v>4851682.9878443284</v>
      </c>
      <c r="Z10" s="255"/>
      <c r="AA10" s="255"/>
      <c r="AB10" s="255"/>
      <c r="AC10" s="255"/>
    </row>
    <row r="11" spans="2:35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4590569.2537000794</v>
      </c>
      <c r="T11" s="252"/>
      <c r="U11" s="254">
        <f t="shared" si="4"/>
        <v>993622.42227044737</v>
      </c>
      <c r="V11" s="254">
        <f t="shared" si="5"/>
        <v>97847.59</v>
      </c>
      <c r="W11" s="252">
        <f t="shared" si="6"/>
        <v>764000</v>
      </c>
      <c r="X11" s="252">
        <f t="shared" si="2"/>
        <v>0</v>
      </c>
      <c r="Y11" s="252">
        <f t="shared" si="1"/>
        <v>4918039.2659705263</v>
      </c>
      <c r="Z11" s="255"/>
      <c r="AA11" s="255"/>
      <c r="AB11" s="255"/>
      <c r="AC11" s="255"/>
    </row>
    <row r="12" spans="2:35" ht="33" x14ac:dyDescent="0.35">
      <c r="B12" s="161" t="s">
        <v>53</v>
      </c>
      <c r="C12" s="171"/>
      <c r="D12" s="172"/>
      <c r="E12" s="170"/>
      <c r="F12" s="46"/>
      <c r="G12" s="163" t="s">
        <v>129</v>
      </c>
      <c r="H12" s="40" t="s">
        <v>157</v>
      </c>
      <c r="I12" s="47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4617347.5743466634</v>
      </c>
      <c r="T12" s="252"/>
      <c r="U12" s="254">
        <f t="shared" si="4"/>
        <v>1011902.6091227011</v>
      </c>
      <c r="V12" s="254">
        <f t="shared" si="5"/>
        <v>119451.73749999999</v>
      </c>
      <c r="W12" s="252">
        <f t="shared" si="6"/>
        <v>764000</v>
      </c>
      <c r="X12" s="252">
        <f t="shared" si="2"/>
        <v>0</v>
      </c>
      <c r="Y12" s="252">
        <f t="shared" si="1"/>
        <v>4984701.9209693642</v>
      </c>
      <c r="Z12" s="255"/>
      <c r="AA12" s="255"/>
      <c r="AB12" s="255"/>
      <c r="AC12" s="255"/>
    </row>
    <row r="13" spans="2:35" ht="33" x14ac:dyDescent="0.35">
      <c r="B13" s="97"/>
      <c r="C13" s="171"/>
      <c r="D13" s="172"/>
      <c r="E13" s="170"/>
      <c r="F13" s="46"/>
      <c r="G13" s="97" t="s">
        <v>68</v>
      </c>
      <c r="H13" s="290">
        <f>C14/E45</f>
        <v>3.3936842105263161E-2</v>
      </c>
      <c r="I13" s="47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4644282.101863686</v>
      </c>
      <c r="T13" s="252"/>
      <c r="U13" s="254">
        <f t="shared" si="4"/>
        <v>1030335.1308653903</v>
      </c>
      <c r="V13" s="254">
        <f t="shared" si="5"/>
        <v>141055.88499999998</v>
      </c>
      <c r="W13" s="252">
        <f t="shared" si="6"/>
        <v>764000</v>
      </c>
      <c r="X13" s="252">
        <f t="shared" si="2"/>
        <v>0</v>
      </c>
      <c r="Y13" s="252">
        <f t="shared" si="1"/>
        <v>5051673.1177290762</v>
      </c>
      <c r="Z13" s="255"/>
      <c r="AA13" s="255"/>
      <c r="AB13" s="255"/>
      <c r="AC13" s="255"/>
    </row>
    <row r="14" spans="2:35" ht="33" x14ac:dyDescent="0.35">
      <c r="B14" s="97" t="str">
        <f>L14</f>
        <v>Rental income Forest Lake (per week)</v>
      </c>
      <c r="C14" s="173">
        <f>D14*12</f>
        <v>32240</v>
      </c>
      <c r="D14" s="165">
        <f>M14*52/12</f>
        <v>2686.6666666666665</v>
      </c>
      <c r="E14" s="174">
        <f>D14-D21</f>
        <v>1191.6666666666665</v>
      </c>
      <c r="F14" s="41"/>
      <c r="G14" s="97" t="s">
        <v>69</v>
      </c>
      <c r="H14" s="290">
        <f>C15/E46</f>
        <v>5.8709677419354837E-2</v>
      </c>
      <c r="I14" s="47"/>
      <c r="K14" s="205"/>
      <c r="L14" s="212" t="s">
        <v>220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4671373.7474578908</v>
      </c>
      <c r="T14" s="252"/>
      <c r="U14" s="254">
        <f t="shared" si="4"/>
        <v>1048921.2569559352</v>
      </c>
      <c r="V14" s="254">
        <f t="shared" si="5"/>
        <v>162660.03249999997</v>
      </c>
      <c r="W14" s="252">
        <f t="shared" si="6"/>
        <v>764000</v>
      </c>
      <c r="X14" s="252">
        <f t="shared" si="2"/>
        <v>0</v>
      </c>
      <c r="Y14" s="252">
        <f t="shared" si="1"/>
        <v>5118955.0369138261</v>
      </c>
      <c r="Z14" s="255"/>
      <c r="AA14" s="255"/>
      <c r="AB14" s="255"/>
      <c r="AC14" s="255"/>
    </row>
    <row r="15" spans="2:35" ht="33" x14ac:dyDescent="0.35">
      <c r="B15" s="97" t="str">
        <f>L15</f>
        <v>Rental income Strathpine (per week)</v>
      </c>
      <c r="C15" s="173">
        <f>D15*12</f>
        <v>36400</v>
      </c>
      <c r="D15" s="165">
        <f>M15*52/12</f>
        <v>3033.3333333333335</v>
      </c>
      <c r="E15" s="174">
        <f>D15-D22</f>
        <v>3033.3333333333335</v>
      </c>
      <c r="F15" s="41"/>
      <c r="G15" s="97" t="s">
        <v>217</v>
      </c>
      <c r="H15" s="290">
        <f>C16/E47</f>
        <v>5.0909090909090911E-2</v>
      </c>
      <c r="I15" s="47"/>
      <c r="K15" s="205"/>
      <c r="L15" s="212" t="s">
        <v>221</v>
      </c>
      <c r="M15" s="223">
        <v>700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4698623.4276513951</v>
      </c>
      <c r="T15" s="252"/>
      <c r="U15" s="254">
        <f t="shared" si="4"/>
        <v>1067662.2674305679</v>
      </c>
      <c r="V15" s="254">
        <f t="shared" si="5"/>
        <v>184264.17999999996</v>
      </c>
      <c r="W15" s="252">
        <f t="shared" si="6"/>
        <v>764000</v>
      </c>
      <c r="X15" s="252">
        <f t="shared" si="2"/>
        <v>0</v>
      </c>
      <c r="Y15" s="252">
        <f t="shared" si="1"/>
        <v>5186549.8750819629</v>
      </c>
      <c r="Z15" s="255"/>
      <c r="AA15" s="255"/>
      <c r="AB15" s="255"/>
      <c r="AC15" s="255"/>
    </row>
    <row r="16" spans="2:35" ht="34" thickBot="1" x14ac:dyDescent="0.4">
      <c r="B16" s="97" t="str">
        <f>L16</f>
        <v>Rental income Mt Sheridan (per week)</v>
      </c>
      <c r="C16" s="173">
        <f>D16*12</f>
        <v>36400</v>
      </c>
      <c r="D16" s="165">
        <f>M16*52/12</f>
        <v>3033.3333333333335</v>
      </c>
      <c r="E16" s="174">
        <f>D16-D23</f>
        <v>877.08333333333348</v>
      </c>
      <c r="F16" s="41"/>
      <c r="G16" s="19"/>
      <c r="H16" s="22"/>
      <c r="I16" s="23"/>
      <c r="K16" s="205"/>
      <c r="L16" s="214" t="s">
        <v>222</v>
      </c>
      <c r="M16" s="224">
        <v>700</v>
      </c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4726032.0643126946</v>
      </c>
      <c r="T16" s="252"/>
      <c r="U16" s="254">
        <f t="shared" si="4"/>
        <v>1086559.4529924893</v>
      </c>
      <c r="V16" s="254">
        <f t="shared" si="5"/>
        <v>205868.32749999996</v>
      </c>
      <c r="W16" s="252">
        <f t="shared" si="6"/>
        <v>764000</v>
      </c>
      <c r="X16" s="252">
        <f t="shared" si="2"/>
        <v>0</v>
      </c>
      <c r="Y16" s="252">
        <f t="shared" si="1"/>
        <v>5254459.8448051838</v>
      </c>
      <c r="Z16" s="255"/>
      <c r="AA16" s="255"/>
      <c r="AB16" s="255"/>
      <c r="AC16" s="255"/>
    </row>
    <row r="17" spans="2:29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SUM(D6:D16)</f>
        <v>32593.333333333332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4753600.5846878523</v>
      </c>
      <c r="T17" s="252">
        <f>$V$4</f>
        <v>3000000</v>
      </c>
      <c r="U17" s="254">
        <f t="shared" si="4"/>
        <v>1105614.11510076</v>
      </c>
      <c r="V17" s="254">
        <f t="shared" si="5"/>
        <v>227472.47499999995</v>
      </c>
      <c r="W17" s="252">
        <f t="shared" si="6"/>
        <v>764000</v>
      </c>
      <c r="X17" s="252">
        <f t="shared" si="2"/>
        <v>3000000</v>
      </c>
      <c r="Y17" s="252">
        <f t="shared" si="1"/>
        <v>8322687.174788611</v>
      </c>
      <c r="Z17" s="255"/>
      <c r="AA17" s="255"/>
      <c r="AB17" s="255"/>
      <c r="AC17" s="255"/>
    </row>
    <row r="18" spans="2:29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7781329.9214318646</v>
      </c>
      <c r="T18" s="252"/>
      <c r="U18" s="254">
        <f t="shared" si="4"/>
        <v>1124827.566059933</v>
      </c>
      <c r="V18" s="254">
        <f t="shared" si="5"/>
        <v>249076.62249999994</v>
      </c>
      <c r="W18" s="252">
        <f t="shared" si="6"/>
        <v>3764000</v>
      </c>
      <c r="X18" s="252">
        <f t="shared" si="2"/>
        <v>0</v>
      </c>
      <c r="Y18" s="252">
        <f t="shared" si="1"/>
        <v>5391234.1099917982</v>
      </c>
      <c r="Z18" s="255"/>
      <c r="AA18" s="255"/>
      <c r="AB18" s="255"/>
      <c r="AC18" s="255"/>
    </row>
    <row r="19" spans="2:29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7826721.0126402173</v>
      </c>
      <c r="T19" s="252"/>
      <c r="U19" s="254">
        <f t="shared" si="4"/>
        <v>1144201.1291104325</v>
      </c>
      <c r="V19" s="254">
        <f t="shared" si="5"/>
        <v>270680.76999999996</v>
      </c>
      <c r="W19" s="252">
        <f t="shared" si="6"/>
        <v>3764000</v>
      </c>
      <c r="X19" s="252">
        <f t="shared" si="2"/>
        <v>0</v>
      </c>
      <c r="Y19" s="252">
        <f t="shared" si="1"/>
        <v>5477602.91175065</v>
      </c>
      <c r="Z19" s="255"/>
      <c r="AA19" s="255"/>
      <c r="AB19" s="255"/>
      <c r="AC19" s="255"/>
    </row>
    <row r="20" spans="2:29" ht="33" x14ac:dyDescent="0.35">
      <c r="B20" s="97" t="s">
        <v>36</v>
      </c>
      <c r="C20" s="175">
        <f t="shared" ref="C20:C23" si="8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7872376.8852139525</v>
      </c>
      <c r="T20" s="252"/>
      <c r="U20" s="254">
        <f t="shared" si="4"/>
        <v>1163736.1385196859</v>
      </c>
      <c r="V20" s="254">
        <f t="shared" si="5"/>
        <v>292284.91749999998</v>
      </c>
      <c r="W20" s="252">
        <f t="shared" si="6"/>
        <v>3764000</v>
      </c>
      <c r="X20" s="252">
        <f t="shared" si="2"/>
        <v>0</v>
      </c>
      <c r="Y20" s="252">
        <f t="shared" si="1"/>
        <v>5564397.9412336387</v>
      </c>
      <c r="Z20" s="255"/>
      <c r="AA20" s="255"/>
      <c r="AB20" s="255"/>
      <c r="AC20" s="255"/>
    </row>
    <row r="21" spans="2:29" ht="34" thickBot="1" x14ac:dyDescent="0.4">
      <c r="B21" s="97" t="str">
        <f>L21</f>
        <v>Interest Forest Lake</v>
      </c>
      <c r="C21" s="175">
        <f t="shared" si="8"/>
        <v>17940</v>
      </c>
      <c r="D21" s="176">
        <f>M21*I45/12</f>
        <v>1495</v>
      </c>
      <c r="E21" s="48"/>
      <c r="F21" s="121"/>
      <c r="G21" s="125"/>
      <c r="H21" s="22"/>
      <c r="I21" s="147"/>
      <c r="K21" s="205"/>
      <c r="L21" s="212" t="s">
        <v>167</v>
      </c>
      <c r="M21" s="225">
        <v>5.7500000000000002E-2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7918299.0837110337</v>
      </c>
      <c r="T21" s="252"/>
      <c r="U21" s="254">
        <f t="shared" si="4"/>
        <v>1183433.9396740166</v>
      </c>
      <c r="V21" s="254">
        <f t="shared" si="5"/>
        <v>313889.065</v>
      </c>
      <c r="W21" s="252">
        <f t="shared" si="6"/>
        <v>3764000</v>
      </c>
      <c r="X21" s="252">
        <f t="shared" si="2"/>
        <v>0</v>
      </c>
      <c r="Y21" s="252">
        <f t="shared" si="1"/>
        <v>5651622.0883850493</v>
      </c>
      <c r="Z21" s="255"/>
      <c r="AA21" s="255"/>
      <c r="AB21" s="255"/>
      <c r="AC21" s="255"/>
    </row>
    <row r="22" spans="2:29" ht="34" thickBot="1" x14ac:dyDescent="0.4">
      <c r="B22" s="97" t="str">
        <f>L22</f>
        <v>Interest Strathpine</v>
      </c>
      <c r="C22" s="175">
        <f t="shared" si="8"/>
        <v>0</v>
      </c>
      <c r="D22" s="176">
        <f>M22*I46/12</f>
        <v>0</v>
      </c>
      <c r="E22" s="49"/>
      <c r="F22" s="122"/>
      <c r="G22" s="157" t="s">
        <v>86</v>
      </c>
      <c r="H22" s="104">
        <f>I17-I28</f>
        <v>21604.147499999999</v>
      </c>
      <c r="I22" s="147"/>
      <c r="K22" s="205"/>
      <c r="L22" s="212" t="s">
        <v>168</v>
      </c>
      <c r="M22" s="225">
        <v>5.7500000000000002E-2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7964489.1616993481</v>
      </c>
      <c r="T22" s="252"/>
      <c r="U22" s="254">
        <f t="shared" si="4"/>
        <v>1203295.8891713</v>
      </c>
      <c r="V22" s="254">
        <f t="shared" si="5"/>
        <v>335493.21250000002</v>
      </c>
      <c r="W22" s="252">
        <f t="shared" si="6"/>
        <v>3764000</v>
      </c>
      <c r="X22" s="252">
        <f t="shared" si="2"/>
        <v>0</v>
      </c>
      <c r="Y22" s="252">
        <f t="shared" si="1"/>
        <v>5739278.263370648</v>
      </c>
      <c r="Z22" s="255"/>
      <c r="AA22" s="255"/>
      <c r="AB22" s="255"/>
      <c r="AC22" s="255"/>
    </row>
    <row r="23" spans="2:29" ht="33" x14ac:dyDescent="0.35">
      <c r="B23" s="97" t="s">
        <v>219</v>
      </c>
      <c r="C23" s="175">
        <f t="shared" si="8"/>
        <v>25875</v>
      </c>
      <c r="D23" s="176">
        <f>M23*I47/12</f>
        <v>2156.25</v>
      </c>
      <c r="E23" s="48"/>
      <c r="F23" s="121"/>
      <c r="G23" s="162" t="s">
        <v>97</v>
      </c>
      <c r="H23" s="105"/>
      <c r="I23" s="147"/>
      <c r="K23" s="205"/>
      <c r="L23" s="212" t="s">
        <v>218</v>
      </c>
      <c r="M23" s="225">
        <v>5.7500000000000002E-2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8010948.6818092614</v>
      </c>
      <c r="T23" s="252"/>
      <c r="U23" s="254">
        <f t="shared" si="4"/>
        <v>1223323.3549143942</v>
      </c>
      <c r="V23" s="254">
        <f t="shared" si="5"/>
        <v>357097.36000000004</v>
      </c>
      <c r="W23" s="252">
        <f t="shared" si="6"/>
        <v>3764000</v>
      </c>
      <c r="X23" s="252">
        <f t="shared" si="2"/>
        <v>0</v>
      </c>
      <c r="Y23" s="252">
        <f t="shared" si="1"/>
        <v>5827369.3967236541</v>
      </c>
      <c r="Z23" s="255"/>
      <c r="AA23" s="255"/>
      <c r="AB23" s="255"/>
      <c r="AC23" s="255"/>
    </row>
    <row r="24" spans="2:29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8057679.2157864822</v>
      </c>
      <c r="T24" s="252"/>
      <c r="U24" s="254">
        <f t="shared" si="4"/>
        <v>1243517.7162053476</v>
      </c>
      <c r="V24" s="254">
        <f t="shared" si="5"/>
        <v>378701.50750000007</v>
      </c>
      <c r="W24" s="252">
        <f t="shared" si="6"/>
        <v>3764000</v>
      </c>
      <c r="X24" s="252">
        <f t="shared" si="2"/>
        <v>0</v>
      </c>
      <c r="Y24" s="252">
        <f t="shared" si="1"/>
        <v>5915898.4394918308</v>
      </c>
      <c r="Z24" s="255"/>
      <c r="AA24" s="255"/>
      <c r="AB24" s="255"/>
      <c r="AC24" s="255"/>
    </row>
    <row r="25" spans="2:29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8104682.3445452368</v>
      </c>
      <c r="T25" s="252"/>
      <c r="U25" s="254">
        <f t="shared" si="4"/>
        <v>1263880.3638403921</v>
      </c>
      <c r="V25" s="254">
        <f t="shared" si="5"/>
        <v>400305.65500000009</v>
      </c>
      <c r="W25" s="252">
        <f t="shared" si="6"/>
        <v>3764000</v>
      </c>
      <c r="X25" s="252">
        <f t="shared" si="2"/>
        <v>0</v>
      </c>
      <c r="Y25" s="252">
        <f t="shared" si="1"/>
        <v>6004868.3633856289</v>
      </c>
      <c r="Z25" s="255"/>
      <c r="AA25" s="255"/>
      <c r="AB25" s="255"/>
      <c r="AC25" s="255"/>
    </row>
    <row r="26" spans="2:29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8151959.6582217505</v>
      </c>
      <c r="T26" s="252"/>
      <c r="U26" s="254">
        <f t="shared" si="4"/>
        <v>1284412.7002057286</v>
      </c>
      <c r="V26" s="254">
        <f t="shared" si="5"/>
        <v>421909.80250000011</v>
      </c>
      <c r="W26" s="252">
        <f t="shared" si="6"/>
        <v>3764000</v>
      </c>
      <c r="X26" s="252">
        <f t="shared" si="2"/>
        <v>0</v>
      </c>
      <c r="Y26" s="252">
        <f t="shared" si="1"/>
        <v>6094282.1609274801</v>
      </c>
      <c r="Z26" s="255"/>
      <c r="AA26" s="255"/>
      <c r="AB26" s="255"/>
      <c r="AC26" s="255"/>
    </row>
    <row r="27" spans="2:29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8199512.7562280446</v>
      </c>
      <c r="T27" s="252"/>
      <c r="U27" s="254">
        <f t="shared" si="4"/>
        <v>1305116.1393741097</v>
      </c>
      <c r="V27" s="254">
        <f t="shared" si="5"/>
        <v>443513.95000000013</v>
      </c>
      <c r="W27" s="252">
        <f t="shared" si="6"/>
        <v>3764000</v>
      </c>
      <c r="X27" s="252">
        <f t="shared" si="2"/>
        <v>0</v>
      </c>
      <c r="Y27" s="252">
        <f t="shared" si="1"/>
        <v>6184142.8456021529</v>
      </c>
      <c r="Z27" s="255"/>
      <c r="AA27" s="255"/>
      <c r="AB27" s="255"/>
      <c r="AC27" s="255"/>
    </row>
    <row r="28" spans="2:29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10989.185833333333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8247343.2473060414</v>
      </c>
      <c r="T28" s="252">
        <f>$V$4</f>
        <v>3000000</v>
      </c>
      <c r="U28" s="254">
        <f t="shared" si="4"/>
        <v>1325992.1072022272</v>
      </c>
      <c r="V28" s="254">
        <f t="shared" si="5"/>
        <v>465118.09750000015</v>
      </c>
      <c r="W28" s="252">
        <f t="shared" si="6"/>
        <v>3764000</v>
      </c>
      <c r="X28" s="252">
        <f t="shared" si="2"/>
        <v>3000000</v>
      </c>
      <c r="Y28" s="252">
        <f t="shared" si="1"/>
        <v>9274453.4520082697</v>
      </c>
      <c r="Z28" s="255"/>
      <c r="AA28" s="255"/>
      <c r="AB28" s="255"/>
      <c r="AC28" s="255"/>
    </row>
    <row r="29" spans="2:29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11295452.749581993</v>
      </c>
      <c r="T29" s="252"/>
      <c r="U29" s="254">
        <f t="shared" si="4"/>
        <v>1347042.0414289124</v>
      </c>
      <c r="V29" s="254">
        <f t="shared" si="5"/>
        <v>486722.24500000017</v>
      </c>
      <c r="W29" s="252">
        <f t="shared" si="6"/>
        <v>6764000</v>
      </c>
      <c r="X29" s="252">
        <f t="shared" si="2"/>
        <v>0</v>
      </c>
      <c r="Y29" s="252">
        <f t="shared" si="1"/>
        <v>6365217.0360109061</v>
      </c>
      <c r="Z29" s="255"/>
      <c r="AA29" s="255"/>
      <c r="AB29" s="255"/>
      <c r="AC29" s="255"/>
    </row>
    <row r="30" spans="2:29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11361342.890621221</v>
      </c>
      <c r="T30" s="252"/>
      <c r="U30" s="254">
        <f t="shared" si="4"/>
        <v>1368267.3917741533</v>
      </c>
      <c r="V30" s="254">
        <f t="shared" si="5"/>
        <v>508326.39250000019</v>
      </c>
      <c r="W30" s="252">
        <f t="shared" si="6"/>
        <v>6764000</v>
      </c>
      <c r="X30" s="252">
        <f t="shared" si="2"/>
        <v>0</v>
      </c>
      <c r="Y30" s="252">
        <f t="shared" si="1"/>
        <v>6473936.6748953741</v>
      </c>
      <c r="Z30" s="255"/>
      <c r="AA30" s="255"/>
      <c r="AB30" s="255"/>
      <c r="AC30" s="255"/>
    </row>
    <row r="31" spans="2:29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11427617.390816512</v>
      </c>
      <c r="T31" s="252"/>
      <c r="U31" s="254">
        <f t="shared" si="4"/>
        <v>1389669.620038938</v>
      </c>
      <c r="V31" s="254">
        <f t="shared" si="5"/>
        <v>529930.54000000015</v>
      </c>
      <c r="W31" s="252">
        <f t="shared" si="6"/>
        <v>6764000</v>
      </c>
      <c r="X31" s="252">
        <f t="shared" si="2"/>
        <v>0</v>
      </c>
      <c r="Y31" s="252">
        <f t="shared" si="1"/>
        <v>6583217.5508554503</v>
      </c>
      <c r="Z31" s="255"/>
      <c r="AA31" s="255"/>
      <c r="AB31" s="255"/>
      <c r="AC31" s="255"/>
    </row>
    <row r="32" spans="2:29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11494278.492262941</v>
      </c>
      <c r="T32" s="252"/>
      <c r="U32" s="254">
        <f t="shared" si="4"/>
        <v>1411250.2002059291</v>
      </c>
      <c r="V32" s="254">
        <f t="shared" si="5"/>
        <v>551534.68750000012</v>
      </c>
      <c r="W32" s="252">
        <f t="shared" si="6"/>
        <v>6764000</v>
      </c>
      <c r="X32" s="252">
        <f t="shared" si="2"/>
        <v>0</v>
      </c>
      <c r="Y32" s="252">
        <f t="shared" si="1"/>
        <v>6693063.3799688704</v>
      </c>
      <c r="Z32" s="255"/>
      <c r="AA32" s="255"/>
      <c r="AB32" s="255"/>
      <c r="AC32" s="255"/>
    </row>
    <row r="33" spans="2:29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11561328.450134475</v>
      </c>
      <c r="T33" s="252"/>
      <c r="U33" s="254">
        <f t="shared" si="4"/>
        <v>1433010.6185409785</v>
      </c>
      <c r="V33" s="254">
        <f t="shared" si="5"/>
        <v>573138.83500000008</v>
      </c>
      <c r="W33" s="252">
        <f t="shared" si="6"/>
        <v>6764000</v>
      </c>
      <c r="X33" s="252">
        <f t="shared" si="2"/>
        <v>0</v>
      </c>
      <c r="Y33" s="252">
        <f t="shared" si="1"/>
        <v>6803477.9036754537</v>
      </c>
      <c r="Z33" s="255"/>
      <c r="AA33" s="255"/>
      <c r="AB33" s="255"/>
      <c r="AC33" s="255"/>
    </row>
    <row r="34" spans="2:29" ht="33" x14ac:dyDescent="0.35">
      <c r="B34" s="160" t="s">
        <v>46</v>
      </c>
      <c r="C34" s="22"/>
      <c r="D34" s="107"/>
      <c r="E34" s="179">
        <f>M40</f>
        <v>11431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11628769.532760259</v>
      </c>
      <c r="T34" s="252"/>
      <c r="U34" s="254">
        <f t="shared" si="4"/>
        <v>1454952.3736954867</v>
      </c>
      <c r="V34" s="254">
        <f t="shared" si="5"/>
        <v>594742.98250000004</v>
      </c>
      <c r="W34" s="252">
        <f t="shared" si="6"/>
        <v>6764000</v>
      </c>
      <c r="X34" s="252">
        <f t="shared" si="2"/>
        <v>0</v>
      </c>
      <c r="Y34" s="252">
        <f t="shared" si="1"/>
        <v>6914464.8889557458</v>
      </c>
      <c r="Z34" s="255"/>
      <c r="AA34" s="255"/>
      <c r="AB34" s="255"/>
      <c r="AC34" s="255"/>
    </row>
    <row r="35" spans="2:29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11696604.02170136</v>
      </c>
      <c r="T35" s="252"/>
      <c r="U35" s="254">
        <f t="shared" si="4"/>
        <v>1477076.9768096157</v>
      </c>
      <c r="V35" s="254">
        <f t="shared" si="5"/>
        <v>616347.13</v>
      </c>
      <c r="W35" s="252">
        <f t="shared" si="6"/>
        <v>6764000</v>
      </c>
      <c r="X35" s="252">
        <f t="shared" si="2"/>
        <v>0</v>
      </c>
      <c r="Y35" s="252">
        <f t="shared" si="1"/>
        <v>7026028.1285109762</v>
      </c>
      <c r="Z35" s="255"/>
      <c r="AA35" s="255"/>
      <c r="AB35" s="255"/>
      <c r="AC35" s="255"/>
    </row>
    <row r="36" spans="2:29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11764834.211827952</v>
      </c>
      <c r="T36" s="252"/>
      <c r="U36" s="254">
        <f t="shared" si="4"/>
        <v>1499385.9516163624</v>
      </c>
      <c r="V36" s="254">
        <f t="shared" si="5"/>
        <v>637951.27749999997</v>
      </c>
      <c r="W36" s="252">
        <f t="shared" si="6"/>
        <v>6764000</v>
      </c>
      <c r="X36" s="252">
        <f t="shared" si="2"/>
        <v>0</v>
      </c>
      <c r="Y36" s="252">
        <f t="shared" si="1"/>
        <v>7138171.440944314</v>
      </c>
      <c r="Z36" s="255"/>
      <c r="AA36" s="255"/>
      <c r="AB36" s="255"/>
      <c r="AC36" s="255"/>
    </row>
    <row r="37" spans="2:29" ht="31" x14ac:dyDescent="0.3">
      <c r="B37" s="160" t="s">
        <v>51</v>
      </c>
      <c r="C37" s="22"/>
      <c r="D37" s="107"/>
      <c r="E37" s="179">
        <f>M43</f>
        <v>179000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11833462.411396949</v>
      </c>
      <c r="T37" s="252"/>
      <c r="U37" s="254">
        <f t="shared" si="4"/>
        <v>1521880.8345464987</v>
      </c>
      <c r="V37" s="254">
        <f t="shared" si="5"/>
        <v>659555.42499999993</v>
      </c>
      <c r="W37" s="252">
        <f t="shared" si="6"/>
        <v>6764000</v>
      </c>
      <c r="X37" s="252">
        <f t="shared" si="2"/>
        <v>0</v>
      </c>
      <c r="Y37" s="252">
        <f t="shared" si="1"/>
        <v>7250898.6709434483</v>
      </c>
      <c r="Z37" s="255"/>
      <c r="AA37" s="255"/>
      <c r="AB37" s="255"/>
      <c r="AC37" s="255"/>
    </row>
    <row r="38" spans="2:29" ht="29" customHeight="1" thickBot="1" x14ac:dyDescent="0.4">
      <c r="B38" s="160" t="s">
        <v>52</v>
      </c>
      <c r="C38" s="22"/>
      <c r="D38" s="107"/>
      <c r="E38" s="179">
        <f>M44</f>
        <v>212000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11902490.942130098</v>
      </c>
      <c r="T38" s="252"/>
      <c r="U38" s="254">
        <f t="shared" si="4"/>
        <v>1544563.1748343862</v>
      </c>
      <c r="V38" s="254">
        <f t="shared" si="5"/>
        <v>681159.57249999989</v>
      </c>
      <c r="W38" s="252">
        <f t="shared" si="6"/>
        <v>6764000</v>
      </c>
      <c r="X38" s="252">
        <f t="shared" si="2"/>
        <v>0</v>
      </c>
      <c r="Y38" s="252">
        <f t="shared" si="1"/>
        <v>7364213.6894644834</v>
      </c>
      <c r="Z38" s="255"/>
      <c r="AA38" s="255"/>
      <c r="AB38" s="255"/>
      <c r="AC38" s="255"/>
    </row>
    <row r="39" spans="2:29" ht="33" x14ac:dyDescent="0.35">
      <c r="B39" s="160" t="s">
        <v>54</v>
      </c>
      <c r="C39" s="22"/>
      <c r="D39" s="107"/>
      <c r="E39" s="179">
        <f>M45</f>
        <v>531000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11971922.139292523</v>
      </c>
      <c r="T39" s="252"/>
      <c r="U39" s="254">
        <f t="shared" si="4"/>
        <v>1567434.5346246727</v>
      </c>
      <c r="V39" s="254">
        <f t="shared" si="5"/>
        <v>702763.71999999986</v>
      </c>
      <c r="W39" s="252">
        <f t="shared" si="6"/>
        <v>6764000</v>
      </c>
      <c r="X39" s="252">
        <f t="shared" si="2"/>
        <v>0</v>
      </c>
      <c r="Y39" s="252">
        <f t="shared" si="1"/>
        <v>7478120.3939171974</v>
      </c>
      <c r="Z39" s="255"/>
      <c r="AA39" s="255"/>
      <c r="AB39" s="255"/>
      <c r="AC39" s="255"/>
    </row>
    <row r="40" spans="2:29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11431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12041758.351771729</v>
      </c>
      <c r="T40" s="252">
        <f>$V$4</f>
        <v>3000000</v>
      </c>
      <c r="U40" s="254">
        <f t="shared" si="4"/>
        <v>1590496.4890798782</v>
      </c>
      <c r="V40" s="254">
        <f t="shared" si="5"/>
        <v>724367.86749999982</v>
      </c>
      <c r="W40" s="252">
        <f t="shared" si="6"/>
        <v>6764000</v>
      </c>
      <c r="X40" s="252">
        <f t="shared" si="2"/>
        <v>3000000</v>
      </c>
      <c r="Y40" s="252">
        <f t="shared" si="1"/>
        <v>10592622.708351608</v>
      </c>
      <c r="Z40" s="255"/>
      <c r="AA40" s="255"/>
      <c r="AB40" s="255"/>
      <c r="AC40" s="255"/>
    </row>
    <row r="41" spans="2:29" ht="33" x14ac:dyDescent="0.35">
      <c r="B41" s="160" t="s">
        <v>65</v>
      </c>
      <c r="C41" s="22"/>
      <c r="D41" s="107"/>
      <c r="E41" s="179">
        <f>M47</f>
        <v>220000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15112001.942157064</v>
      </c>
      <c r="T41" s="252"/>
      <c r="U41" s="254">
        <f t="shared" si="4"/>
        <v>1613750.6264888772</v>
      </c>
      <c r="V41" s="254">
        <f t="shared" si="5"/>
        <v>745972.01499999978</v>
      </c>
      <c r="W41" s="252">
        <f t="shared" si="6"/>
        <v>9764000</v>
      </c>
      <c r="X41" s="252">
        <f t="shared" si="2"/>
        <v>0</v>
      </c>
      <c r="Y41" s="252">
        <f t="shared" si="1"/>
        <v>7707724.5836459398</v>
      </c>
      <c r="Z41" s="255"/>
      <c r="AA41" s="255"/>
      <c r="AB41" s="255"/>
      <c r="AC41" s="255"/>
    </row>
    <row r="42" spans="2:29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15200155.286819646</v>
      </c>
      <c r="T42" s="252"/>
      <c r="U42" s="254">
        <f t="shared" si="4"/>
        <v>1637198.5483762845</v>
      </c>
      <c r="V42" s="254">
        <f t="shared" si="5"/>
        <v>767576.16249999974</v>
      </c>
      <c r="W42" s="252">
        <f t="shared" si="6"/>
        <v>9764000</v>
      </c>
      <c r="X42" s="252">
        <f t="shared" si="2"/>
        <v>0</v>
      </c>
      <c r="Y42" s="252">
        <f t="shared" si="1"/>
        <v>7840929.9976959303</v>
      </c>
      <c r="Z42" s="255"/>
      <c r="AA42" s="255"/>
      <c r="AB42" s="255"/>
      <c r="AC42" s="255"/>
    </row>
    <row r="43" spans="2:29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179000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15288822.859326094</v>
      </c>
      <c r="T43" s="252"/>
      <c r="U43" s="254">
        <f t="shared" si="4"/>
        <v>1660841.8696127536</v>
      </c>
      <c r="V43" s="254">
        <f t="shared" si="5"/>
        <v>789180.30999999971</v>
      </c>
      <c r="W43" s="252">
        <f t="shared" si="6"/>
        <v>9764000</v>
      </c>
      <c r="X43" s="252">
        <f t="shared" si="2"/>
        <v>0</v>
      </c>
      <c r="Y43" s="252">
        <f t="shared" si="1"/>
        <v>7974845.0389388464</v>
      </c>
      <c r="Z43" s="255"/>
      <c r="AA43" s="255"/>
      <c r="AB43" s="255"/>
      <c r="AC43" s="255"/>
    </row>
    <row r="44" spans="2:29" ht="33" x14ac:dyDescent="0.35">
      <c r="B44" s="160" t="s">
        <v>2</v>
      </c>
      <c r="D44" s="182">
        <f>E44-I44</f>
        <v>2200000</v>
      </c>
      <c r="E44" s="179">
        <f>M50</f>
        <v>2200000</v>
      </c>
      <c r="G44" s="97" t="s">
        <v>6</v>
      </c>
      <c r="H44" s="22"/>
      <c r="I44" s="109">
        <f>M62</f>
        <v>0</v>
      </c>
      <c r="K44" s="205"/>
      <c r="L44" s="212" t="s">
        <v>80</v>
      </c>
      <c r="M44" s="223">
        <v>212000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15378007.65933883</v>
      </c>
      <c r="T44" s="252"/>
      <c r="U44" s="254">
        <f t="shared" si="4"/>
        <v>1684682.2185261932</v>
      </c>
      <c r="V44" s="254">
        <f t="shared" si="5"/>
        <v>810784.45749999967</v>
      </c>
      <c r="W44" s="252">
        <f t="shared" si="6"/>
        <v>9764000</v>
      </c>
      <c r="X44" s="252">
        <f t="shared" si="2"/>
        <v>0</v>
      </c>
      <c r="Y44" s="252">
        <f t="shared" si="1"/>
        <v>8109474.3353650235</v>
      </c>
      <c r="Z44" s="255"/>
      <c r="AA44" s="255"/>
      <c r="AB44" s="255"/>
      <c r="AC44" s="255"/>
    </row>
    <row r="45" spans="2:29" ht="33" x14ac:dyDescent="0.35">
      <c r="B45" s="160" t="str">
        <f>L51</f>
        <v>Investment 1 - Forest Lake value</v>
      </c>
      <c r="D45" s="182">
        <f>E45-I45</f>
        <v>638000</v>
      </c>
      <c r="E45" s="179">
        <f>M51</f>
        <v>950000</v>
      </c>
      <c r="G45" s="97" t="s">
        <v>3</v>
      </c>
      <c r="H45" s="22"/>
      <c r="I45" s="109">
        <f>M64</f>
        <v>312000</v>
      </c>
      <c r="K45" s="205"/>
      <c r="L45" s="212" t="s">
        <v>81</v>
      </c>
      <c r="M45" s="223">
        <v>531000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15467712.704018306</v>
      </c>
      <c r="T45" s="252"/>
      <c r="U45" s="254">
        <f t="shared" si="4"/>
        <v>1708721.2370139114</v>
      </c>
      <c r="V45" s="254">
        <f t="shared" si="5"/>
        <v>832388.60499999963</v>
      </c>
      <c r="W45" s="252">
        <f t="shared" si="6"/>
        <v>9764000</v>
      </c>
      <c r="X45" s="252">
        <f t="shared" si="2"/>
        <v>0</v>
      </c>
      <c r="Y45" s="252">
        <f t="shared" si="1"/>
        <v>8244822.5460322164</v>
      </c>
      <c r="Z45" s="255"/>
      <c r="AA45" s="255"/>
      <c r="AB45" s="255"/>
      <c r="AC45" s="255"/>
    </row>
    <row r="46" spans="2:29" ht="33" x14ac:dyDescent="0.35">
      <c r="B46" s="160" t="str">
        <f>L52</f>
        <v>Investment 2 - Strathpine value</v>
      </c>
      <c r="D46" s="182">
        <f>E46-I46</f>
        <v>620000</v>
      </c>
      <c r="E46" s="179">
        <f>M52</f>
        <v>620000</v>
      </c>
      <c r="G46" s="97" t="s">
        <v>4</v>
      </c>
      <c r="H46" s="22"/>
      <c r="I46" s="109">
        <f>M65</f>
        <v>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15557941.028125079</v>
      </c>
      <c r="T46" s="252"/>
      <c r="U46" s="254">
        <f t="shared" si="4"/>
        <v>1732960.580655694</v>
      </c>
      <c r="V46" s="254">
        <f t="shared" si="5"/>
        <v>853992.75249999959</v>
      </c>
      <c r="W46" s="252">
        <f t="shared" si="6"/>
        <v>9764000</v>
      </c>
      <c r="X46" s="252">
        <f t="shared" si="2"/>
        <v>0</v>
      </c>
      <c r="Y46" s="252">
        <f t="shared" si="1"/>
        <v>8380894.3612807728</v>
      </c>
      <c r="Z46" s="255"/>
      <c r="AA46" s="255"/>
      <c r="AB46" s="255"/>
      <c r="AC46" s="255"/>
    </row>
    <row r="47" spans="2:29" ht="33" x14ac:dyDescent="0.35">
      <c r="B47" s="160" t="str">
        <f>L53</f>
        <v>Investment 3 - Mt Sheridan value</v>
      </c>
      <c r="D47" s="182">
        <f>E47-I47</f>
        <v>265000</v>
      </c>
      <c r="E47" s="179">
        <f>M53</f>
        <v>715000</v>
      </c>
      <c r="G47" s="97" t="s">
        <v>213</v>
      </c>
      <c r="H47" s="22"/>
      <c r="I47" s="109">
        <f>M66</f>
        <v>450000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15648695.684122477</v>
      </c>
      <c r="T47" s="252"/>
      <c r="U47" s="254">
        <f t="shared" si="4"/>
        <v>1757401.9188278248</v>
      </c>
      <c r="V47" s="254">
        <f t="shared" si="5"/>
        <v>875596.89999999956</v>
      </c>
      <c r="W47" s="252">
        <f t="shared" si="6"/>
        <v>9764000</v>
      </c>
      <c r="X47" s="252">
        <f t="shared" si="2"/>
        <v>0</v>
      </c>
      <c r="Y47" s="252">
        <f t="shared" si="1"/>
        <v>8517694.5029502995</v>
      </c>
      <c r="Z47" s="255"/>
      <c r="AA47" s="255"/>
      <c r="AB47" s="255"/>
      <c r="AC47" s="255"/>
    </row>
    <row r="48" spans="2:29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15739979.742279857</v>
      </c>
      <c r="T48" s="252"/>
      <c r="U48" s="254">
        <f t="shared" si="4"/>
        <v>1782046.9348180566</v>
      </c>
      <c r="V48" s="254">
        <f t="shared" si="5"/>
        <v>897201.04749999952</v>
      </c>
      <c r="W48" s="252">
        <f t="shared" si="6"/>
        <v>9764000</v>
      </c>
      <c r="X48" s="252">
        <f t="shared" si="2"/>
        <v>0</v>
      </c>
      <c r="Y48" s="252">
        <f t="shared" si="1"/>
        <v>8655227.7245979123</v>
      </c>
      <c r="Z48" s="255"/>
      <c r="AA48" s="255"/>
      <c r="AB48" s="255"/>
      <c r="AC48" s="255"/>
    </row>
    <row r="49" spans="2:29" ht="34" thickBot="1" x14ac:dyDescent="0.4">
      <c r="B49" s="128" t="s">
        <v>156</v>
      </c>
      <c r="C49" s="108"/>
      <c r="D49" s="107"/>
      <c r="E49" s="148">
        <f>SUM(E34:E48)</f>
        <v>5838431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15831796.290776491</v>
      </c>
      <c r="T49" s="252"/>
      <c r="U49" s="254">
        <f t="shared" si="4"/>
        <v>1806897.3259415403</v>
      </c>
      <c r="V49" s="254">
        <f t="shared" si="5"/>
        <v>918805.19499999948</v>
      </c>
      <c r="W49" s="252">
        <f t="shared" si="6"/>
        <v>9764000</v>
      </c>
      <c r="X49" s="252">
        <f t="shared" si="2"/>
        <v>0</v>
      </c>
      <c r="Y49" s="252">
        <f t="shared" si="1"/>
        <v>8793498.8117180318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5418431</v>
      </c>
      <c r="G50" s="64" t="s">
        <v>59</v>
      </c>
      <c r="H50" s="51"/>
      <c r="I50" s="52">
        <f>SUM(I35:I49)</f>
        <v>764000</v>
      </c>
      <c r="K50" s="206"/>
      <c r="L50" s="212" t="s">
        <v>82</v>
      </c>
      <c r="M50" s="223">
        <v>2200000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15924148.435806021</v>
      </c>
      <c r="T50" s="252"/>
      <c r="U50" s="254">
        <f t="shared" si="4"/>
        <v>1831954.8036577199</v>
      </c>
      <c r="V50" s="254">
        <f t="shared" si="5"/>
        <v>940409.34249999945</v>
      </c>
      <c r="W50" s="252">
        <f t="shared" si="6"/>
        <v>9764000</v>
      </c>
      <c r="X50" s="252">
        <f t="shared" si="2"/>
        <v>0</v>
      </c>
      <c r="Y50" s="252">
        <f t="shared" si="1"/>
        <v>8932512.5819637403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16017039.301681556</v>
      </c>
      <c r="T51" s="252"/>
      <c r="U51" s="254">
        <f t="shared" si="4"/>
        <v>1857221.0936882009</v>
      </c>
      <c r="V51" s="254">
        <f t="shared" si="5"/>
        <v>962013.48999999941</v>
      </c>
      <c r="W51" s="252">
        <f t="shared" si="6"/>
        <v>9764000</v>
      </c>
      <c r="X51" s="252">
        <f t="shared" si="2"/>
        <v>0</v>
      </c>
      <c r="Y51" s="252">
        <f t="shared" si="1"/>
        <v>9072273.8853697553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620000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16110472.030941365</v>
      </c>
      <c r="T52" s="252">
        <f>$V$4</f>
        <v>3000000</v>
      </c>
      <c r="U52" s="254">
        <f t="shared" si="4"/>
        <v>1882697.9361356026</v>
      </c>
      <c r="V52" s="254">
        <f t="shared" si="5"/>
        <v>983617.63749999937</v>
      </c>
      <c r="W52" s="252">
        <f t="shared" si="6"/>
        <v>9764000</v>
      </c>
      <c r="X52" s="252">
        <f t="shared" si="2"/>
        <v>3000000</v>
      </c>
      <c r="Y52" s="252">
        <f t="shared" si="1"/>
        <v>12212787.604576968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214</v>
      </c>
      <c r="M53" s="224">
        <v>715000</v>
      </c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19204449.784455188</v>
      </c>
      <c r="T53" s="252"/>
      <c r="U53" s="254">
        <f t="shared" si="4"/>
        <v>1908387.0856033992</v>
      </c>
      <c r="V53" s="254">
        <f t="shared" si="5"/>
        <v>1005221.7849999993</v>
      </c>
      <c r="W53" s="252">
        <f t="shared" si="6"/>
        <v>12764000</v>
      </c>
      <c r="X53" s="252">
        <f t="shared" si="2"/>
        <v>0</v>
      </c>
      <c r="Y53" s="252">
        <f t="shared" si="1"/>
        <v>9354058.6550585888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19316475.741531178</v>
      </c>
      <c r="T54" s="252"/>
      <c r="U54" s="254">
        <f t="shared" si="4"/>
        <v>1934290.3113167607</v>
      </c>
      <c r="V54" s="254">
        <f t="shared" si="5"/>
        <v>1026825.9324999993</v>
      </c>
      <c r="W54" s="252">
        <f t="shared" si="6"/>
        <v>12764000</v>
      </c>
      <c r="X54" s="252">
        <f t="shared" si="2"/>
        <v>0</v>
      </c>
      <c r="Y54" s="252">
        <f t="shared" si="1"/>
        <v>9513591.9853479415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19429155.183356777</v>
      </c>
      <c r="T55" s="252"/>
      <c r="U55" s="254">
        <f t="shared" si="4"/>
        <v>1960409.3972444003</v>
      </c>
      <c r="V55" s="254">
        <f t="shared" si="5"/>
        <v>1048430.0799999993</v>
      </c>
      <c r="W55" s="252">
        <f t="shared" si="6"/>
        <v>12764000</v>
      </c>
      <c r="X55" s="252">
        <f t="shared" si="2"/>
        <v>0</v>
      </c>
      <c r="Y55" s="252">
        <f t="shared" si="1"/>
        <v>9673994.6606011763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4654431</v>
      </c>
      <c r="E56" s="200"/>
      <c r="F56" s="201"/>
      <c r="G56" s="202" t="s">
        <v>158</v>
      </c>
      <c r="H56" s="203" t="s">
        <v>114</v>
      </c>
      <c r="I56" s="204">
        <f>I17-I28</f>
        <v>21604.147499999999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19542491.921926357</v>
      </c>
      <c r="T56" s="252"/>
      <c r="U56" s="254">
        <f t="shared" si="4"/>
        <v>1986746.1422214371</v>
      </c>
      <c r="V56" s="254">
        <f t="shared" si="5"/>
        <v>1070034.2274999993</v>
      </c>
      <c r="W56" s="252">
        <f t="shared" si="6"/>
        <v>12764000</v>
      </c>
      <c r="X56" s="252">
        <f t="shared" si="2"/>
        <v>0</v>
      </c>
      <c r="Y56" s="252">
        <f t="shared" si="1"/>
        <v>9835272.2916477919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19656489.791470926</v>
      </c>
      <c r="T57" s="252"/>
      <c r="U57" s="254">
        <f t="shared" si="4"/>
        <v>2013302.3600732824</v>
      </c>
      <c r="V57" s="254">
        <f t="shared" si="5"/>
        <v>1091638.3749999993</v>
      </c>
      <c r="W57" s="252">
        <f t="shared" si="6"/>
        <v>12764000</v>
      </c>
      <c r="X57" s="252">
        <f t="shared" si="2"/>
        <v>0</v>
      </c>
      <c r="Y57" s="252">
        <f t="shared" si="1"/>
        <v>9997430.5265442096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5074431</v>
      </c>
      <c r="E58" s="130"/>
      <c r="G58" s="115" t="s">
        <v>113</v>
      </c>
      <c r="H58" s="115" t="s">
        <v>115</v>
      </c>
      <c r="I58" s="189">
        <f>I56*12</f>
        <v>259249.77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19771152.648587842</v>
      </c>
      <c r="T58" s="252"/>
      <c r="U58" s="254">
        <f t="shared" si="4"/>
        <v>2040079.8797405597</v>
      </c>
      <c r="V58" s="254">
        <f t="shared" si="5"/>
        <v>1113242.5224999993</v>
      </c>
      <c r="W58" s="252">
        <f t="shared" si="6"/>
        <v>12764000</v>
      </c>
      <c r="X58" s="252">
        <f t="shared" si="2"/>
        <v>0</v>
      </c>
      <c r="Y58" s="252">
        <f t="shared" si="1"/>
        <v>10160475.050828401</v>
      </c>
      <c r="Z58" s="255"/>
      <c r="AA58" s="255"/>
      <c r="AB58" s="255"/>
      <c r="AC58" s="255"/>
    </row>
    <row r="59" spans="2:29" s="17" customFormat="1" ht="33" x14ac:dyDescent="0.35">
      <c r="B59" s="135" t="s">
        <v>233</v>
      </c>
      <c r="C59" s="130"/>
      <c r="D59" s="101">
        <f>D56-D44</f>
        <v>2454431</v>
      </c>
      <c r="E59" s="130"/>
      <c r="F59" s="18"/>
      <c r="G59" s="115"/>
      <c r="H59" s="115"/>
      <c r="I59" s="189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19886484.372371271</v>
      </c>
      <c r="T59" s="252"/>
      <c r="U59" s="254">
        <f t="shared" si="4"/>
        <v>2067080.5454050642</v>
      </c>
      <c r="V59" s="254">
        <f t="shared" si="5"/>
        <v>1134846.6699999992</v>
      </c>
      <c r="W59" s="252">
        <f t="shared" si="6"/>
        <v>12764000</v>
      </c>
      <c r="X59" s="252">
        <f t="shared" si="2"/>
        <v>0</v>
      </c>
      <c r="Y59" s="252">
        <f t="shared" si="1"/>
        <v>10324411.587776333</v>
      </c>
      <c r="Z59" s="255"/>
      <c r="AA59" s="256"/>
      <c r="AB59" s="256"/>
      <c r="AC59" s="256"/>
    </row>
    <row r="60" spans="2:29" s="17" customFormat="1" ht="33" x14ac:dyDescent="0.35">
      <c r="B60" s="136"/>
      <c r="C60" s="22"/>
      <c r="D60" s="99"/>
      <c r="E60" s="99"/>
      <c r="F60" s="22"/>
      <c r="G60" s="98"/>
      <c r="H60" s="99"/>
      <c r="I60" s="190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20002488.864543438</v>
      </c>
      <c r="T60" s="252"/>
      <c r="U60" s="254">
        <f t="shared" si="4"/>
        <v>2094306.216616773</v>
      </c>
      <c r="V60" s="254">
        <f t="shared" si="5"/>
        <v>1156450.8174999992</v>
      </c>
      <c r="W60" s="252">
        <f t="shared" si="6"/>
        <v>12764000</v>
      </c>
      <c r="X60" s="252">
        <f t="shared" si="2"/>
        <v>0</v>
      </c>
      <c r="Y60" s="252">
        <f t="shared" si="1"/>
        <v>10489245.898660209</v>
      </c>
      <c r="Z60" s="255"/>
      <c r="AA60" s="256"/>
      <c r="AB60" s="256"/>
      <c r="AC60" s="256"/>
    </row>
    <row r="61" spans="2:29" s="17" customFormat="1" ht="34" customHeight="1" x14ac:dyDescent="0.35">
      <c r="B61" s="133" t="s">
        <v>106</v>
      </c>
      <c r="C61" s="22"/>
      <c r="D61" s="116"/>
      <c r="E61" s="99"/>
      <c r="F61" s="22"/>
      <c r="G61" s="114" t="s">
        <v>1</v>
      </c>
      <c r="H61" s="99"/>
      <c r="I61" s="191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20119170.049586609</v>
      </c>
      <c r="T61" s="252"/>
      <c r="U61" s="254">
        <f t="shared" si="4"/>
        <v>2121758.7684219126</v>
      </c>
      <c r="V61" s="254">
        <f t="shared" si="5"/>
        <v>1178054.9649999992</v>
      </c>
      <c r="W61" s="252">
        <f t="shared" si="6"/>
        <v>12764000</v>
      </c>
      <c r="X61" s="252">
        <f t="shared" si="2"/>
        <v>0</v>
      </c>
      <c r="Y61" s="252">
        <f t="shared" si="1"/>
        <v>10654983.78300852</v>
      </c>
      <c r="Z61" s="255"/>
      <c r="AA61" s="256"/>
      <c r="AB61" s="256"/>
      <c r="AC61" s="256"/>
    </row>
    <row r="62" spans="2:29" s="17" customFormat="1" ht="33" x14ac:dyDescent="0.35">
      <c r="B62" s="125"/>
      <c r="C62" s="22"/>
      <c r="D62" s="18"/>
      <c r="E62" s="99"/>
      <c r="F62" s="22"/>
      <c r="G62" s="18"/>
      <c r="H62" s="99"/>
      <c r="I62" s="190"/>
      <c r="J62" s="18"/>
      <c r="K62" s="205"/>
      <c r="L62" s="212" t="s">
        <v>85</v>
      </c>
      <c r="M62" s="223">
        <v>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20236531.874875866</v>
      </c>
      <c r="T62" s="252"/>
      <c r="U62" s="254">
        <f t="shared" si="4"/>
        <v>2149440.091492095</v>
      </c>
      <c r="V62" s="254">
        <f t="shared" si="5"/>
        <v>1199659.1124999991</v>
      </c>
      <c r="W62" s="252">
        <f t="shared" si="6"/>
        <v>12764000</v>
      </c>
      <c r="X62" s="252">
        <f t="shared" si="2"/>
        <v>0</v>
      </c>
      <c r="Y62" s="252">
        <f t="shared" si="1"/>
        <v>10821631.078867961</v>
      </c>
      <c r="Z62" s="255"/>
      <c r="AA62" s="256"/>
      <c r="AB62" s="256"/>
      <c r="AC62" s="256"/>
    </row>
    <row r="63" spans="2:29" s="17" customFormat="1" ht="45" x14ac:dyDescent="0.35">
      <c r="B63" s="234" t="s">
        <v>105</v>
      </c>
      <c r="C63" s="118"/>
      <c r="D63" s="106">
        <f>SUM(I44:I47)</f>
        <v>762000</v>
      </c>
      <c r="E63" s="118"/>
      <c r="F63" s="22"/>
      <c r="G63" s="195" t="s">
        <v>1</v>
      </c>
      <c r="H63" s="195" t="s">
        <v>114</v>
      </c>
      <c r="I63" s="196">
        <f>H5</f>
        <v>5942.0833333333339</v>
      </c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20354578.310812641</v>
      </c>
      <c r="T63" s="252"/>
      <c r="U63" s="254">
        <f t="shared" si="4"/>
        <v>2177352.0922545292</v>
      </c>
      <c r="V63" s="254">
        <f t="shared" si="5"/>
        <v>1221263.2599999991</v>
      </c>
      <c r="W63" s="252">
        <f t="shared" si="6"/>
        <v>12764000</v>
      </c>
      <c r="X63" s="252">
        <f t="shared" si="2"/>
        <v>0</v>
      </c>
      <c r="Y63" s="252">
        <f t="shared" si="1"/>
        <v>10989193.663067169</v>
      </c>
      <c r="Z63" s="255"/>
      <c r="AA63" s="256"/>
      <c r="AB63" s="256"/>
      <c r="AC63" s="256"/>
    </row>
    <row r="64" spans="2:29" s="17" customFormat="1" ht="33" x14ac:dyDescent="0.35">
      <c r="B64" s="235"/>
      <c r="C64" s="118"/>
      <c r="D64" s="236"/>
      <c r="E64" s="118"/>
      <c r="F64" s="22"/>
      <c r="G64" s="18"/>
      <c r="H64" s="229"/>
      <c r="I64" s="147"/>
      <c r="J64" s="18"/>
      <c r="K64" s="205"/>
      <c r="L64" s="212" t="s">
        <v>223</v>
      </c>
      <c r="M64" s="223">
        <v>312000</v>
      </c>
      <c r="N64" s="205"/>
      <c r="O64" s="291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20473313.350959048</v>
      </c>
      <c r="T64" s="252">
        <f>$V$4</f>
        <v>3000000</v>
      </c>
      <c r="U64" s="254">
        <f t="shared" si="4"/>
        <v>2205496.693023317</v>
      </c>
      <c r="V64" s="254">
        <f t="shared" si="5"/>
        <v>1242867.407499999</v>
      </c>
      <c r="W64" s="252">
        <f t="shared" si="6"/>
        <v>12764000</v>
      </c>
      <c r="X64" s="252">
        <f t="shared" si="2"/>
        <v>3000000</v>
      </c>
      <c r="Y64" s="252">
        <f t="shared" si="1"/>
        <v>14157677.451482363</v>
      </c>
      <c r="Z64" s="255"/>
      <c r="AA64" s="256"/>
      <c r="AB64" s="256"/>
      <c r="AC64" s="256"/>
    </row>
    <row r="65" spans="2:29" s="17" customFormat="1" ht="33" x14ac:dyDescent="0.35">
      <c r="B65" s="234" t="s">
        <v>100</v>
      </c>
      <c r="C65" s="118"/>
      <c r="D65" s="106">
        <f>SUM(E44:E47)</f>
        <v>4485000</v>
      </c>
      <c r="E65" s="118"/>
      <c r="F65" s="22"/>
      <c r="G65" s="117" t="s">
        <v>126</v>
      </c>
      <c r="H65" s="117" t="s">
        <v>114</v>
      </c>
      <c r="I65" s="192">
        <f>I28-H5</f>
        <v>5047.1024999999991</v>
      </c>
      <c r="J65" s="18"/>
      <c r="K65" s="205"/>
      <c r="L65" s="212" t="s">
        <v>224</v>
      </c>
      <c r="M65" s="223">
        <v>0</v>
      </c>
      <c r="N65" s="205"/>
      <c r="O65" s="292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23592741.012172975</v>
      </c>
      <c r="T65" s="252"/>
      <c r="U65" s="254">
        <f t="shared" si="4"/>
        <v>2233875.8321318445</v>
      </c>
      <c r="V65" s="254">
        <f t="shared" si="5"/>
        <v>1264471.554999999</v>
      </c>
      <c r="W65" s="252">
        <f t="shared" si="6"/>
        <v>15764000</v>
      </c>
      <c r="X65" s="252">
        <f t="shared" si="2"/>
        <v>0</v>
      </c>
      <c r="Y65" s="252">
        <f t="shared" si="1"/>
        <v>11327088.399304818</v>
      </c>
      <c r="Z65" s="255"/>
      <c r="AA65" s="256"/>
      <c r="AB65" s="256"/>
      <c r="AC65" s="256"/>
    </row>
    <row r="66" spans="2:29" ht="33" x14ac:dyDescent="0.35">
      <c r="B66" s="235"/>
      <c r="C66" s="118"/>
      <c r="D66" s="236"/>
      <c r="E66" s="118"/>
      <c r="F66" s="22"/>
      <c r="G66" s="229"/>
      <c r="H66" s="229"/>
      <c r="I66" s="231"/>
      <c r="K66" s="205"/>
      <c r="L66" s="212" t="s">
        <v>225</v>
      </c>
      <c r="M66" s="223">
        <v>450000</v>
      </c>
      <c r="N66" s="205"/>
      <c r="O66" s="292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23730365.334743984</v>
      </c>
      <c r="T66" s="252"/>
      <c r="U66" s="254">
        <f t="shared" si="4"/>
        <v>2262491.4640662763</v>
      </c>
      <c r="V66" s="254">
        <f t="shared" si="5"/>
        <v>1286075.702499999</v>
      </c>
      <c r="W66" s="252">
        <f t="shared" si="6"/>
        <v>15764000</v>
      </c>
      <c r="X66" s="252">
        <f t="shared" si="2"/>
        <v>0</v>
      </c>
      <c r="Y66" s="252">
        <f t="shared" si="1"/>
        <v>11514932.501310259</v>
      </c>
      <c r="Z66" s="255"/>
      <c r="AA66" s="255"/>
      <c r="AB66" s="255"/>
      <c r="AC66" s="255"/>
    </row>
    <row r="67" spans="2:29" ht="34" thickBot="1" x14ac:dyDescent="0.4">
      <c r="B67" s="234" t="s">
        <v>101</v>
      </c>
      <c r="C67" s="118"/>
      <c r="D67" s="237">
        <f>SUM(D44:D47)</f>
        <v>3723000</v>
      </c>
      <c r="E67" s="118"/>
      <c r="G67" s="117" t="s">
        <v>125</v>
      </c>
      <c r="H67" s="117"/>
      <c r="I67" s="192">
        <f>I65*12/0.08</f>
        <v>757065.37499999988</v>
      </c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8"/>
      <c r="C68" s="118"/>
      <c r="D68" s="237"/>
      <c r="E68" s="118"/>
      <c r="G68" s="113" t="s">
        <v>181</v>
      </c>
      <c r="H68" s="99"/>
      <c r="I68" s="262"/>
      <c r="K68" s="205"/>
      <c r="L68" s="206"/>
      <c r="M68" s="205"/>
      <c r="N68" s="205"/>
    </row>
    <row r="69" spans="2:29" ht="25" x14ac:dyDescent="0.2">
      <c r="B69" s="234" t="s">
        <v>29</v>
      </c>
      <c r="C69" s="118"/>
      <c r="D69" s="239">
        <f>D63/D65</f>
        <v>0.16989966555183947</v>
      </c>
      <c r="E69" s="118"/>
      <c r="H69" s="99"/>
      <c r="I69" s="263"/>
    </row>
    <row r="70" spans="2:29" ht="33" x14ac:dyDescent="0.35">
      <c r="B70" s="234"/>
      <c r="C70" s="118"/>
      <c r="D70" s="240"/>
      <c r="E70" s="118"/>
      <c r="G70" s="114" t="s">
        <v>116</v>
      </c>
      <c r="H70" s="99"/>
      <c r="I70" s="147"/>
      <c r="L70" s="294" t="s">
        <v>239</v>
      </c>
      <c r="M70" s="293" t="s">
        <v>238</v>
      </c>
    </row>
    <row r="71" spans="2:29" ht="29" customHeight="1" x14ac:dyDescent="0.35">
      <c r="B71" s="234" t="s">
        <v>121</v>
      </c>
      <c r="C71" s="118"/>
      <c r="D71" s="237">
        <f>(80%-D69)*D65</f>
        <v>2826000.0000000005</v>
      </c>
      <c r="E71" s="118"/>
      <c r="G71" s="114"/>
      <c r="H71" s="99"/>
      <c r="I71" s="147"/>
      <c r="K71" s="270"/>
      <c r="L71" s="270" t="s">
        <v>234</v>
      </c>
      <c r="M71" s="267">
        <v>900000</v>
      </c>
      <c r="N71" s="270"/>
      <c r="O71" s="270"/>
    </row>
    <row r="72" spans="2:29" ht="29" customHeight="1" x14ac:dyDescent="0.35">
      <c r="B72" s="234"/>
      <c r="C72" s="118"/>
      <c r="D72" s="240"/>
      <c r="E72" s="118"/>
      <c r="G72" s="603" t="s">
        <v>162</v>
      </c>
      <c r="H72" s="604"/>
      <c r="I72" s="233">
        <f>SUM(E34:E35)</f>
        <v>11431</v>
      </c>
      <c r="K72" s="270"/>
      <c r="L72" s="270" t="s">
        <v>235</v>
      </c>
      <c r="M72" s="267">
        <f>M71-230000</f>
        <v>670000</v>
      </c>
      <c r="N72" s="270"/>
      <c r="O72" s="270"/>
    </row>
    <row r="73" spans="2:29" ht="29" customHeight="1" x14ac:dyDescent="0.35">
      <c r="B73" s="137"/>
      <c r="E73" s="99"/>
      <c r="G73" s="232" t="s">
        <v>163</v>
      </c>
      <c r="H73" s="232"/>
      <c r="I73" s="233">
        <f>SUM(E37:E39)</f>
        <v>922000</v>
      </c>
      <c r="K73" s="270"/>
      <c r="L73" s="270" t="s">
        <v>236</v>
      </c>
      <c r="M73" s="267">
        <f>M72-300000</f>
        <v>370000</v>
      </c>
      <c r="N73" s="270"/>
      <c r="O73" s="270"/>
    </row>
    <row r="74" spans="2:29" ht="29" customHeight="1" x14ac:dyDescent="0.35">
      <c r="B74" s="133" t="s">
        <v>111</v>
      </c>
      <c r="E74" s="99"/>
      <c r="G74" s="118" t="s">
        <v>154</v>
      </c>
      <c r="H74" s="118"/>
      <c r="I74" s="193">
        <f>SUM(I72:I73)</f>
        <v>933431</v>
      </c>
      <c r="K74" s="270"/>
      <c r="L74" s="270" t="s">
        <v>237</v>
      </c>
      <c r="M74" s="267">
        <f>M73-200000</f>
        <v>170000</v>
      </c>
      <c r="N74" s="270"/>
      <c r="O74" s="270"/>
    </row>
    <row r="75" spans="2:29" ht="29" customHeight="1" x14ac:dyDescent="0.35">
      <c r="B75" s="125"/>
      <c r="E75" s="99"/>
      <c r="H75" s="99"/>
      <c r="I75" s="147"/>
      <c r="K75" s="270"/>
      <c r="L75" s="270"/>
      <c r="M75" s="267"/>
      <c r="N75" s="270"/>
      <c r="O75" s="270"/>
    </row>
    <row r="76" spans="2:29" ht="29" customHeight="1" x14ac:dyDescent="0.35">
      <c r="B76" s="138" t="s">
        <v>128</v>
      </c>
      <c r="C76" s="131"/>
      <c r="D76" s="102">
        <f>D79-D63</f>
        <v>2182288.7090855208</v>
      </c>
      <c r="E76" s="131"/>
      <c r="G76" s="114" t="s">
        <v>127</v>
      </c>
      <c r="H76" s="99"/>
      <c r="I76" s="147"/>
      <c r="K76" s="270"/>
      <c r="L76" s="270"/>
      <c r="M76" s="267"/>
      <c r="N76" s="270"/>
      <c r="O76" s="270"/>
    </row>
    <row r="77" spans="2:29" ht="29" customHeight="1" x14ac:dyDescent="0.35">
      <c r="B77" s="137" t="s">
        <v>112</v>
      </c>
      <c r="E77" s="99"/>
      <c r="G77" s="22"/>
      <c r="H77" s="99"/>
      <c r="I77" s="147"/>
      <c r="K77" s="270"/>
      <c r="L77" s="270"/>
      <c r="M77" s="267"/>
      <c r="N77" s="270"/>
      <c r="O77" s="270"/>
    </row>
    <row r="78" spans="2:29" ht="29" customHeight="1" x14ac:dyDescent="0.35">
      <c r="B78" s="137"/>
      <c r="E78" s="113"/>
      <c r="G78" s="601" t="s">
        <v>165</v>
      </c>
      <c r="H78" s="602"/>
      <c r="I78" s="194">
        <f>SUM(E34:E39)/(I28-H5)</f>
        <v>184.94393565416993</v>
      </c>
      <c r="K78" s="270"/>
      <c r="L78" s="270"/>
      <c r="M78" s="270"/>
      <c r="N78" s="270"/>
      <c r="O78" s="270"/>
    </row>
    <row r="79" spans="2:29" ht="29" customHeight="1" x14ac:dyDescent="0.35">
      <c r="B79" s="138" t="s">
        <v>117</v>
      </c>
      <c r="C79" s="131"/>
      <c r="D79" s="102">
        <f>PV(8%/12,30*12,H22,0)*-1</f>
        <v>2944288.7090855208</v>
      </c>
      <c r="E79" s="131"/>
      <c r="G79" s="601" t="s">
        <v>166</v>
      </c>
      <c r="H79" s="602"/>
      <c r="I79" s="194">
        <f>SUM(E34:E39)/(I28-H5)/12</f>
        <v>15.411994637847494</v>
      </c>
      <c r="K79" s="270"/>
      <c r="L79" s="270"/>
      <c r="M79" s="270"/>
      <c r="N79" s="270"/>
    </row>
    <row r="80" spans="2:29" ht="29" customHeight="1" x14ac:dyDescent="0.35">
      <c r="B80" s="137" t="s">
        <v>153</v>
      </c>
      <c r="D80" s="99"/>
      <c r="E80" s="113"/>
      <c r="G80" s="601" t="s">
        <v>161</v>
      </c>
      <c r="H80" s="602"/>
      <c r="I80" s="194">
        <f>H22/(I28-H5)</f>
        <v>4.2805050026227924</v>
      </c>
      <c r="K80" s="270"/>
      <c r="L80" s="270"/>
      <c r="M80" s="270"/>
      <c r="N80" s="270"/>
    </row>
    <row r="81" spans="2:14" ht="29" customHeight="1" thickBot="1" x14ac:dyDescent="0.4">
      <c r="B81" s="139"/>
      <c r="C81" s="140"/>
      <c r="D81" s="141"/>
      <c r="E81" s="142"/>
      <c r="F81" s="140"/>
      <c r="G81" s="140"/>
      <c r="H81" s="140"/>
      <c r="I81" s="129"/>
      <c r="K81" s="270"/>
      <c r="L81" s="270"/>
      <c r="M81" s="270"/>
      <c r="N81" s="270"/>
    </row>
    <row r="82" spans="2:14" ht="43" customHeight="1" x14ac:dyDescent="0.35">
      <c r="D82" s="99"/>
      <c r="E82" s="22"/>
      <c r="K82" s="270"/>
      <c r="L82" s="270"/>
      <c r="M82" s="270"/>
      <c r="N82" s="270"/>
    </row>
    <row r="83" spans="2:14" ht="35" x14ac:dyDescent="0.35">
      <c r="D83" s="99"/>
      <c r="E83" s="98"/>
      <c r="F83" s="99"/>
      <c r="G83" s="99"/>
      <c r="H83" s="99"/>
      <c r="K83" s="270"/>
      <c r="L83" s="270"/>
      <c r="M83" s="270"/>
      <c r="N83" s="270"/>
    </row>
    <row r="84" spans="2:14" ht="35" x14ac:dyDescent="0.35">
      <c r="B84" s="270"/>
      <c r="C84" s="270"/>
      <c r="D84" s="273"/>
      <c r="E84" s="270"/>
      <c r="F84" s="271"/>
      <c r="G84" s="271"/>
      <c r="H84" s="271"/>
      <c r="K84" s="270"/>
      <c r="L84" s="270"/>
      <c r="M84" s="270"/>
      <c r="N84" s="270"/>
    </row>
    <row r="85" spans="2:14" ht="35" x14ac:dyDescent="0.35">
      <c r="B85" s="277" t="s">
        <v>197</v>
      </c>
      <c r="C85" s="278"/>
      <c r="D85" s="279"/>
      <c r="E85" s="289"/>
      <c r="F85" s="271"/>
      <c r="G85" s="275" t="s">
        <v>209</v>
      </c>
      <c r="H85" s="271"/>
      <c r="K85" s="270"/>
      <c r="L85" s="270"/>
      <c r="M85" s="270"/>
      <c r="N85" s="270"/>
    </row>
    <row r="86" spans="2:14" ht="35" x14ac:dyDescent="0.35">
      <c r="B86" s="270" t="s">
        <v>189</v>
      </c>
      <c r="C86" s="270"/>
      <c r="D86" s="273">
        <v>0</v>
      </c>
      <c r="E86" s="270"/>
      <c r="F86" s="271"/>
      <c r="G86" s="276">
        <f>D113</f>
        <v>88055.23</v>
      </c>
      <c r="H86" s="271"/>
      <c r="K86" s="270"/>
      <c r="L86" s="270"/>
      <c r="M86" s="270"/>
      <c r="N86" s="270"/>
    </row>
    <row r="87" spans="2:14" ht="35" x14ac:dyDescent="0.35">
      <c r="B87" s="270" t="s">
        <v>226</v>
      </c>
      <c r="C87" s="270"/>
      <c r="D87" s="273">
        <f>M30</f>
        <v>875.73250000000007</v>
      </c>
      <c r="E87" s="270"/>
      <c r="F87" s="271"/>
      <c r="G87" s="271"/>
      <c r="H87" s="271"/>
      <c r="K87" s="270"/>
      <c r="L87" s="270"/>
      <c r="M87" s="270"/>
      <c r="N87" s="270"/>
    </row>
    <row r="88" spans="2:14" ht="35" x14ac:dyDescent="0.35">
      <c r="B88" s="270" t="s">
        <v>190</v>
      </c>
      <c r="C88" s="270"/>
      <c r="D88" s="273">
        <f>M31</f>
        <v>2120</v>
      </c>
      <c r="E88" s="270"/>
      <c r="F88" s="271"/>
      <c r="G88" s="275" t="s">
        <v>210</v>
      </c>
      <c r="H88" s="271"/>
      <c r="K88" s="270"/>
      <c r="L88" s="270"/>
      <c r="M88" s="270"/>
      <c r="N88" s="270"/>
    </row>
    <row r="89" spans="2:14" ht="35" x14ac:dyDescent="0.35">
      <c r="B89" s="270" t="s">
        <v>191</v>
      </c>
      <c r="D89" s="273">
        <v>500</v>
      </c>
      <c r="G89" s="270" t="s">
        <v>178</v>
      </c>
      <c r="H89" s="273">
        <f>SUM(M40:M41)</f>
        <v>11431</v>
      </c>
      <c r="K89" s="270"/>
      <c r="L89" s="270"/>
      <c r="M89" s="270"/>
      <c r="N89" s="270"/>
    </row>
    <row r="90" spans="2:14" ht="35" x14ac:dyDescent="0.35">
      <c r="B90" s="270" t="s">
        <v>192</v>
      </c>
      <c r="D90" s="273">
        <v>500</v>
      </c>
      <c r="G90" s="270" t="s">
        <v>124</v>
      </c>
      <c r="H90" s="273">
        <f>SUM(M43:M45)</f>
        <v>922000</v>
      </c>
      <c r="K90" s="270"/>
      <c r="L90" s="270"/>
      <c r="M90" s="270"/>
      <c r="N90" s="270"/>
    </row>
    <row r="91" spans="2:14" ht="35" x14ac:dyDescent="0.35">
      <c r="B91" s="270" t="s">
        <v>193</v>
      </c>
      <c r="C91" s="270"/>
      <c r="D91" s="273">
        <f>M33</f>
        <v>1514.7033333333331</v>
      </c>
      <c r="E91" s="270"/>
      <c r="F91" s="271"/>
      <c r="G91" s="270" t="s">
        <v>211</v>
      </c>
      <c r="H91" s="273">
        <f>SUM(D45:D47)</f>
        <v>1523000</v>
      </c>
      <c r="I91" s="270" t="s">
        <v>212</v>
      </c>
      <c r="K91" s="270"/>
      <c r="L91" s="270"/>
      <c r="M91" s="270"/>
      <c r="N91" s="270"/>
    </row>
    <row r="92" spans="2:14" ht="35" x14ac:dyDescent="0.35">
      <c r="B92" s="270"/>
      <c r="C92" s="270"/>
      <c r="D92" s="273"/>
      <c r="E92" s="270"/>
      <c r="F92" s="271"/>
      <c r="G92" s="270"/>
      <c r="H92" s="273"/>
      <c r="K92" s="270"/>
      <c r="L92" s="270"/>
      <c r="M92" s="270"/>
      <c r="N92" s="270"/>
    </row>
    <row r="93" spans="2:14" ht="35" x14ac:dyDescent="0.35">
      <c r="B93" s="270"/>
      <c r="C93" s="270"/>
      <c r="D93" s="273"/>
      <c r="E93" s="270"/>
      <c r="F93" s="271"/>
      <c r="G93" s="272" t="s">
        <v>215</v>
      </c>
      <c r="H93" s="274">
        <f>SUM(H89:H92)</f>
        <v>2456431</v>
      </c>
      <c r="K93" s="270"/>
      <c r="L93" s="270"/>
      <c r="M93" s="270"/>
      <c r="N93" s="270"/>
    </row>
    <row r="94" spans="2:14" ht="35" x14ac:dyDescent="0.35">
      <c r="B94" s="270" t="s">
        <v>194</v>
      </c>
      <c r="C94" s="270"/>
      <c r="D94" s="273">
        <f>SUM(D86:D93)</f>
        <v>5510.435833333333</v>
      </c>
      <c r="E94" s="270"/>
      <c r="F94" s="271"/>
      <c r="G94" s="272" t="s">
        <v>232</v>
      </c>
      <c r="H94" s="273"/>
      <c r="K94" s="270"/>
      <c r="L94" s="270"/>
      <c r="M94" s="270"/>
      <c r="N94" s="270"/>
    </row>
    <row r="95" spans="2:14" ht="35" x14ac:dyDescent="0.35">
      <c r="B95" s="270" t="s">
        <v>195</v>
      </c>
      <c r="C95" s="270"/>
      <c r="D95" s="273">
        <f>D94*12</f>
        <v>66125.23</v>
      </c>
      <c r="E95" s="270"/>
      <c r="F95" s="271"/>
      <c r="G95" s="270"/>
      <c r="H95" s="273"/>
      <c r="K95" s="270"/>
      <c r="L95" s="270"/>
      <c r="M95" s="270"/>
      <c r="N95" s="270"/>
    </row>
    <row r="96" spans="2:14" ht="35" x14ac:dyDescent="0.35">
      <c r="B96" s="272" t="s">
        <v>196</v>
      </c>
      <c r="C96" s="272"/>
      <c r="D96" s="274">
        <f>D95/0.06</f>
        <v>1102087.1666666667</v>
      </c>
      <c r="E96" s="270"/>
      <c r="F96" s="271"/>
      <c r="G96" s="271"/>
      <c r="H96" s="271"/>
    </row>
    <row r="97" spans="2:8" ht="35" x14ac:dyDescent="0.35">
      <c r="B97" s="270"/>
      <c r="C97" s="270"/>
      <c r="D97" s="273"/>
      <c r="E97" s="270"/>
      <c r="F97" s="271"/>
      <c r="G97" s="271"/>
      <c r="H97" s="271"/>
    </row>
    <row r="98" spans="2:8" ht="35" x14ac:dyDescent="0.35">
      <c r="B98" s="280" t="s">
        <v>198</v>
      </c>
      <c r="C98" s="281"/>
      <c r="D98" s="282"/>
      <c r="E98" s="289"/>
      <c r="F98" s="271"/>
      <c r="G98" s="271"/>
      <c r="H98" s="271"/>
    </row>
    <row r="99" spans="2:8" ht="35" x14ac:dyDescent="0.35">
      <c r="B99" s="270" t="s">
        <v>227</v>
      </c>
      <c r="C99" s="270"/>
      <c r="D99" s="273">
        <f>M36/2</f>
        <v>550</v>
      </c>
      <c r="E99" s="270"/>
      <c r="F99" s="271"/>
      <c r="G99" s="271"/>
      <c r="H99" s="271"/>
    </row>
    <row r="100" spans="2:8" ht="35" x14ac:dyDescent="0.35">
      <c r="B100" s="270" t="s">
        <v>229</v>
      </c>
      <c r="D100" s="273">
        <f>M34/2</f>
        <v>550</v>
      </c>
      <c r="E100" s="270"/>
      <c r="F100" s="271"/>
      <c r="G100" s="271"/>
      <c r="H100" s="271"/>
    </row>
    <row r="101" spans="2:8" ht="35" x14ac:dyDescent="0.35">
      <c r="B101" s="270" t="s">
        <v>230</v>
      </c>
      <c r="D101" s="273">
        <f>M33/2</f>
        <v>757.35166666666657</v>
      </c>
      <c r="E101" s="270"/>
      <c r="F101" s="271"/>
      <c r="G101" s="271"/>
      <c r="H101" s="271"/>
    </row>
    <row r="102" spans="2:8" ht="35" x14ac:dyDescent="0.35">
      <c r="B102" s="270" t="s">
        <v>231</v>
      </c>
      <c r="C102" s="270"/>
      <c r="D102" s="273">
        <f>D94</f>
        <v>5510.435833333333</v>
      </c>
      <c r="E102" s="270"/>
      <c r="F102" s="271"/>
      <c r="G102" s="271"/>
      <c r="H102" s="271"/>
    </row>
    <row r="103" spans="2:8" ht="35" x14ac:dyDescent="0.35">
      <c r="B103" s="270"/>
      <c r="C103" s="270"/>
      <c r="D103" s="273"/>
      <c r="E103" s="270"/>
      <c r="F103" s="271"/>
      <c r="G103" s="271"/>
      <c r="H103" s="271"/>
    </row>
    <row r="104" spans="2:8" ht="35" x14ac:dyDescent="0.35">
      <c r="B104" s="270"/>
      <c r="C104" s="270"/>
      <c r="D104" s="273"/>
      <c r="E104" s="270"/>
      <c r="F104" s="271"/>
      <c r="G104" s="271"/>
      <c r="H104" s="271"/>
    </row>
    <row r="105" spans="2:8" ht="35" x14ac:dyDescent="0.35">
      <c r="B105" s="270" t="s">
        <v>194</v>
      </c>
      <c r="C105" s="270"/>
      <c r="D105" s="273">
        <f>SUM(D99:D103)</f>
        <v>7367.7874999999995</v>
      </c>
      <c r="E105" s="270"/>
      <c r="F105" s="271"/>
      <c r="G105" s="271"/>
      <c r="H105" s="271"/>
    </row>
    <row r="106" spans="2:8" ht="35" x14ac:dyDescent="0.35">
      <c r="B106" s="270" t="s">
        <v>195</v>
      </c>
      <c r="C106" s="270"/>
      <c r="D106" s="273">
        <f>D105*12</f>
        <v>88413.45</v>
      </c>
      <c r="E106" s="270"/>
      <c r="F106" s="271"/>
      <c r="G106" s="271"/>
      <c r="H106" s="271"/>
    </row>
    <row r="107" spans="2:8" ht="35" x14ac:dyDescent="0.35">
      <c r="B107" s="272" t="s">
        <v>204</v>
      </c>
      <c r="C107" s="272"/>
      <c r="D107" s="274">
        <f>D106/0.06</f>
        <v>1473557.5</v>
      </c>
      <c r="E107" s="270"/>
      <c r="F107" s="271"/>
      <c r="G107" s="271"/>
      <c r="H107" s="271"/>
    </row>
    <row r="108" spans="2:8" ht="35" x14ac:dyDescent="0.35">
      <c r="B108" s="270"/>
      <c r="C108" s="270"/>
      <c r="D108" s="273"/>
      <c r="E108" s="270"/>
      <c r="F108" s="271"/>
      <c r="G108" s="271"/>
      <c r="H108" s="271"/>
    </row>
    <row r="109" spans="2:8" ht="35" x14ac:dyDescent="0.35">
      <c r="B109" s="283" t="s">
        <v>199</v>
      </c>
      <c r="C109" s="284"/>
      <c r="D109" s="285"/>
      <c r="E109" s="289"/>
      <c r="F109" s="271"/>
      <c r="G109" s="271"/>
      <c r="H109" s="271"/>
    </row>
    <row r="110" spans="2:8" ht="35" x14ac:dyDescent="0.35">
      <c r="B110" s="270" t="s">
        <v>228</v>
      </c>
      <c r="C110" s="270"/>
      <c r="D110" s="273">
        <f>M28</f>
        <v>7337.935833333333</v>
      </c>
      <c r="E110" s="270"/>
      <c r="F110" s="271"/>
      <c r="G110" s="271"/>
      <c r="H110" s="271"/>
    </row>
    <row r="111" spans="2:8" ht="35" x14ac:dyDescent="0.35">
      <c r="B111" s="270"/>
      <c r="C111" s="270"/>
      <c r="D111" s="273"/>
      <c r="E111" s="270"/>
      <c r="F111" s="271"/>
      <c r="G111" s="271"/>
      <c r="H111" s="271"/>
    </row>
    <row r="112" spans="2:8" ht="35" x14ac:dyDescent="0.35">
      <c r="B112" s="270" t="s">
        <v>194</v>
      </c>
      <c r="C112" s="270"/>
      <c r="D112" s="273">
        <f>SUM(D110:D110)</f>
        <v>7337.935833333333</v>
      </c>
      <c r="E112" s="270"/>
      <c r="F112" s="271"/>
      <c r="G112" s="271"/>
      <c r="H112" s="271"/>
    </row>
    <row r="113" spans="2:8" ht="35" x14ac:dyDescent="0.35">
      <c r="B113" s="270" t="s">
        <v>195</v>
      </c>
      <c r="C113" s="270"/>
      <c r="D113" s="273">
        <f>D112*12</f>
        <v>88055.23</v>
      </c>
      <c r="E113" s="270"/>
      <c r="F113" s="271"/>
      <c r="G113" s="271"/>
      <c r="H113" s="271"/>
    </row>
    <row r="114" spans="2:8" ht="35" x14ac:dyDescent="0.35">
      <c r="B114" s="272" t="s">
        <v>205</v>
      </c>
      <c r="C114" s="272"/>
      <c r="D114" s="274">
        <f>D113/0.06</f>
        <v>1467587.1666666667</v>
      </c>
      <c r="E114" s="270"/>
      <c r="F114" s="271"/>
      <c r="G114" s="271"/>
      <c r="H114" s="271"/>
    </row>
    <row r="115" spans="2:8" ht="35" x14ac:dyDescent="0.35">
      <c r="B115" s="270"/>
      <c r="C115" s="270"/>
      <c r="D115" s="271"/>
      <c r="E115" s="270"/>
      <c r="F115" s="271"/>
      <c r="G115" s="271"/>
      <c r="H115" s="271"/>
    </row>
    <row r="116" spans="2:8" ht="35" x14ac:dyDescent="0.35">
      <c r="B116" s="286" t="s">
        <v>200</v>
      </c>
      <c r="C116" s="287"/>
      <c r="D116" s="288"/>
      <c r="E116" s="270"/>
      <c r="F116" s="271"/>
      <c r="G116" s="271"/>
      <c r="H116" s="271"/>
    </row>
    <row r="117" spans="2:8" ht="35" x14ac:dyDescent="0.35">
      <c r="B117" s="270" t="s">
        <v>201</v>
      </c>
      <c r="C117" s="270"/>
      <c r="D117" s="273">
        <f>D112</f>
        <v>7337.935833333333</v>
      </c>
      <c r="E117" s="270"/>
      <c r="F117" s="271"/>
      <c r="G117" s="271"/>
      <c r="H117" s="271"/>
    </row>
    <row r="118" spans="2:8" ht="35" x14ac:dyDescent="0.35">
      <c r="B118" s="270" t="s">
        <v>203</v>
      </c>
      <c r="C118" s="270"/>
      <c r="D118" s="273">
        <v>8000</v>
      </c>
      <c r="E118" s="270"/>
      <c r="F118" s="271"/>
      <c r="G118" s="271"/>
      <c r="H118" s="271"/>
    </row>
    <row r="119" spans="2:8" ht="35" x14ac:dyDescent="0.35">
      <c r="B119" s="270" t="s">
        <v>216</v>
      </c>
      <c r="C119" s="270"/>
      <c r="D119" s="273">
        <v>2000</v>
      </c>
      <c r="E119" s="270"/>
      <c r="F119" s="271"/>
      <c r="G119" s="271"/>
      <c r="H119" s="271"/>
    </row>
    <row r="120" spans="2:8" ht="35" x14ac:dyDescent="0.35">
      <c r="B120" s="270" t="s">
        <v>202</v>
      </c>
      <c r="D120" s="273">
        <v>2000</v>
      </c>
      <c r="E120" s="270"/>
      <c r="F120" s="271"/>
      <c r="G120" s="271"/>
      <c r="H120" s="271"/>
    </row>
    <row r="121" spans="2:8" ht="35" x14ac:dyDescent="0.35">
      <c r="B121" s="270" t="s">
        <v>208</v>
      </c>
      <c r="D121" s="273">
        <v>27000</v>
      </c>
      <c r="E121" s="270"/>
      <c r="F121" s="271"/>
      <c r="G121" s="271"/>
      <c r="H121" s="271"/>
    </row>
    <row r="122" spans="2:8" ht="35" x14ac:dyDescent="0.35">
      <c r="B122" s="270" t="s">
        <v>207</v>
      </c>
      <c r="C122" s="270"/>
      <c r="D122" s="273">
        <v>10000</v>
      </c>
      <c r="E122" s="270"/>
      <c r="F122" s="271"/>
      <c r="G122" s="271"/>
      <c r="H122" s="271"/>
    </row>
    <row r="123" spans="2:8" ht="35" x14ac:dyDescent="0.35">
      <c r="B123" s="270"/>
      <c r="C123" s="270"/>
      <c r="D123" s="273"/>
      <c r="E123" s="270"/>
      <c r="F123" s="271"/>
      <c r="G123" s="271"/>
      <c r="H123" s="271"/>
    </row>
    <row r="124" spans="2:8" ht="35" x14ac:dyDescent="0.35">
      <c r="B124" s="270" t="s">
        <v>194</v>
      </c>
      <c r="C124" s="270"/>
      <c r="D124" s="273">
        <f>SUM(D117:D122)</f>
        <v>56337.935833333337</v>
      </c>
      <c r="E124" s="270"/>
      <c r="F124" s="271"/>
      <c r="G124" s="271"/>
      <c r="H124" s="271"/>
    </row>
    <row r="125" spans="2:8" ht="35" x14ac:dyDescent="0.35">
      <c r="B125" s="270" t="s">
        <v>195</v>
      </c>
      <c r="C125" s="270"/>
      <c r="D125" s="273">
        <f>D124*12</f>
        <v>676055.23</v>
      </c>
      <c r="E125" s="270"/>
      <c r="F125" s="271"/>
      <c r="G125" s="271"/>
      <c r="H125" s="271"/>
    </row>
    <row r="126" spans="2:8" ht="35" x14ac:dyDescent="0.35">
      <c r="B126" s="272" t="s">
        <v>206</v>
      </c>
      <c r="C126" s="272"/>
      <c r="D126" s="274">
        <f>D125/0.05</f>
        <v>13521104.6</v>
      </c>
    </row>
  </sheetData>
  <mergeCells count="8">
    <mergeCell ref="G79:H79"/>
    <mergeCell ref="G80:H80"/>
    <mergeCell ref="B2:I2"/>
    <mergeCell ref="L2:M2"/>
    <mergeCell ref="B30:I30"/>
    <mergeCell ref="B52:I52"/>
    <mergeCell ref="G72:H72"/>
    <mergeCell ref="G78:H7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8C4A-EC46-BC48-9FE5-3A9AD0EAE787}">
  <dimension ref="B1:AI94"/>
  <sheetViews>
    <sheetView showGridLines="0" topLeftCell="A31" zoomScale="50" zoomScaleNormal="70" workbookViewId="0">
      <selection activeCell="L89" sqref="L89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33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9.83203125" style="18" customWidth="1"/>
    <col min="18" max="18" width="33.5" style="18" bestFit="1" customWidth="1"/>
    <col min="19" max="19" width="37" style="18" customWidth="1"/>
    <col min="20" max="20" width="27" style="18" customWidth="1"/>
    <col min="21" max="21" width="67.5" style="18" bestFit="1" customWidth="1"/>
    <col min="22" max="22" width="27" style="18" bestFit="1" customWidth="1"/>
    <col min="23" max="24" width="27.83203125" style="18" customWidth="1"/>
    <col min="25" max="25" width="35" style="18" bestFit="1" customWidth="1"/>
    <col min="26" max="16384" width="11" style="18"/>
  </cols>
  <sheetData>
    <row r="1" spans="2:35" ht="32" thickBot="1" x14ac:dyDescent="0.35">
      <c r="K1" s="205"/>
      <c r="L1" s="206"/>
      <c r="M1" s="205"/>
      <c r="N1" s="205"/>
      <c r="Q1" s="251"/>
      <c r="R1" s="29"/>
      <c r="S1" s="252"/>
      <c r="T1" s="252"/>
      <c r="U1" s="258" t="s">
        <v>180</v>
      </c>
      <c r="V1" s="259">
        <v>7.0000000000000007E-2</v>
      </c>
      <c r="W1" s="252"/>
      <c r="X1" s="252"/>
      <c r="Y1" s="255"/>
      <c r="Z1" s="255"/>
      <c r="AA1" s="255"/>
      <c r="AB1" s="255"/>
      <c r="AC1" s="255"/>
    </row>
    <row r="2" spans="2:35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2"/>
      <c r="U2" s="258" t="s">
        <v>179</v>
      </c>
      <c r="V2" s="259">
        <v>0.1</v>
      </c>
      <c r="Y2" s="255"/>
      <c r="Z2" s="255"/>
      <c r="AA2" s="255"/>
      <c r="AB2" s="255"/>
      <c r="AC2" s="255"/>
    </row>
    <row r="3" spans="2:35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2"/>
      <c r="U3" s="258" t="s">
        <v>175</v>
      </c>
      <c r="V3" s="260">
        <v>5000</v>
      </c>
      <c r="W3" s="252"/>
      <c r="X3" s="252"/>
      <c r="Y3" s="255"/>
      <c r="Z3" s="255"/>
      <c r="AA3" s="255"/>
      <c r="AB3" s="255"/>
      <c r="AC3" s="255"/>
      <c r="AI3" s="257" t="s">
        <v>176</v>
      </c>
    </row>
    <row r="4" spans="2:35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64" t="s">
        <v>184</v>
      </c>
      <c r="V4" s="252">
        <v>1000000</v>
      </c>
      <c r="W4" s="252"/>
      <c r="X4" s="252"/>
      <c r="Y4" s="255"/>
      <c r="Z4" s="255"/>
      <c r="AA4" s="255"/>
      <c r="AB4" s="255"/>
      <c r="AC4" s="255"/>
    </row>
    <row r="5" spans="2:35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2494</v>
      </c>
      <c r="I5" s="143">
        <f>H5*12</f>
        <v>29928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2"/>
      <c r="X5" s="252"/>
      <c r="Y5" s="255"/>
      <c r="Z5" s="255"/>
      <c r="AA5" s="255"/>
      <c r="AB5" s="255"/>
      <c r="AC5" s="255"/>
    </row>
    <row r="6" spans="2:35" ht="33" x14ac:dyDescent="0.35">
      <c r="B6" s="97" t="s">
        <v>40</v>
      </c>
      <c r="C6" s="164">
        <f>D6*12</f>
        <v>276000</v>
      </c>
      <c r="D6" s="165">
        <f>M6</f>
        <v>23000</v>
      </c>
      <c r="E6" s="166"/>
      <c r="F6" s="61"/>
      <c r="G6" s="39"/>
      <c r="H6" s="55"/>
      <c r="I6" s="56"/>
      <c r="K6" s="205"/>
      <c r="L6" s="212" t="s">
        <v>70</v>
      </c>
      <c r="M6" s="223">
        <v>23000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182</v>
      </c>
      <c r="U6" s="250" t="s">
        <v>124</v>
      </c>
      <c r="V6" s="250" t="s">
        <v>178</v>
      </c>
      <c r="W6" s="250" t="s">
        <v>174</v>
      </c>
      <c r="X6" s="250" t="s">
        <v>183</v>
      </c>
      <c r="Y6" s="250" t="s">
        <v>177</v>
      </c>
      <c r="Z6" s="255"/>
      <c r="AA6" s="255"/>
      <c r="AB6" s="255"/>
      <c r="AC6" s="255"/>
    </row>
    <row r="7" spans="2:35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SUM(E44:E46)</f>
        <v>3650000</v>
      </c>
      <c r="T7" s="252"/>
      <c r="U7" s="252">
        <f>SUM(E37:E39)</f>
        <v>915000</v>
      </c>
      <c r="V7" s="252">
        <f>$E$34</f>
        <v>818000</v>
      </c>
      <c r="W7" s="252">
        <f>$I$50</f>
        <v>1488000</v>
      </c>
      <c r="X7" s="252">
        <f>T7</f>
        <v>0</v>
      </c>
      <c r="Y7" s="252">
        <f t="shared" ref="Y7:Y66" si="1">SUM(S7:V7)-W7</f>
        <v>3895000</v>
      </c>
      <c r="Z7" s="255"/>
      <c r="AA7" s="255"/>
      <c r="AB7" s="255"/>
      <c r="AC7" s="255"/>
    </row>
    <row r="8" spans="2:35" ht="33" x14ac:dyDescent="0.35">
      <c r="B8" s="97" t="s">
        <v>42</v>
      </c>
      <c r="C8" s="167"/>
      <c r="D8" s="165">
        <f>M8</f>
        <v>10</v>
      </c>
      <c r="E8" s="169">
        <f>D8</f>
        <v>10</v>
      </c>
      <c r="F8" s="54"/>
      <c r="G8" s="97"/>
      <c r="H8" s="44"/>
      <c r="I8" s="47"/>
      <c r="K8" s="205"/>
      <c r="L8" s="212" t="s">
        <v>72</v>
      </c>
      <c r="M8" s="223">
        <v>10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>($V$1/12+1)*S7+T7</f>
        <v>3671291.666666667</v>
      </c>
      <c r="T8" s="252"/>
      <c r="U8" s="254">
        <f>($V$2/12+1)*U7+$V$3</f>
        <v>927625</v>
      </c>
      <c r="V8" s="254">
        <f>V7+$I$56</f>
        <v>836156.06416666671</v>
      </c>
      <c r="W8" s="252">
        <f>W7+X7</f>
        <v>1488000</v>
      </c>
      <c r="X8" s="252">
        <f t="shared" ref="X8:X66" si="2">T8</f>
        <v>0</v>
      </c>
      <c r="Y8" s="252">
        <f t="shared" si="1"/>
        <v>3947072.7308333339</v>
      </c>
      <c r="Z8" s="255"/>
      <c r="AA8" s="255"/>
      <c r="AB8" s="255"/>
      <c r="AC8" s="255"/>
    </row>
    <row r="9" spans="2:35" ht="33" x14ac:dyDescent="0.35">
      <c r="B9" s="97" t="s">
        <v>43</v>
      </c>
      <c r="C9" s="167"/>
      <c r="D9" s="165">
        <f>M9</f>
        <v>830</v>
      </c>
      <c r="E9" s="169">
        <f>D9</f>
        <v>830</v>
      </c>
      <c r="F9" s="54"/>
      <c r="G9" s="97"/>
      <c r="H9" s="44"/>
      <c r="I9" s="47"/>
      <c r="K9" s="205"/>
      <c r="L9" s="212" t="s">
        <v>73</v>
      </c>
      <c r="M9" s="223">
        <v>830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ref="S9:S66" si="3">($V$1/12+1)*S8+T8</f>
        <v>3692707.5347222225</v>
      </c>
      <c r="T9" s="252"/>
      <c r="U9" s="254">
        <f t="shared" ref="U9:U66" si="4">($V$2/12+1)*U8+$V$3</f>
        <v>940355.20833333326</v>
      </c>
      <c r="V9" s="254">
        <f t="shared" ref="V9:V66" si="5">V8+$I$56</f>
        <v>854312.12833333341</v>
      </c>
      <c r="W9" s="252">
        <f t="shared" ref="W9:W66" si="6">W8+X8</f>
        <v>1488000</v>
      </c>
      <c r="X9" s="252">
        <f t="shared" si="2"/>
        <v>0</v>
      </c>
      <c r="Y9" s="252">
        <f t="shared" si="1"/>
        <v>3999374.8713888898</v>
      </c>
      <c r="Z9" s="255"/>
      <c r="AA9" s="255"/>
      <c r="AB9" s="255"/>
      <c r="AC9" s="255"/>
    </row>
    <row r="10" spans="2:35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7">Q9+30</f>
        <v>46181</v>
      </c>
      <c r="R10" s="251" t="str">
        <f t="shared" ca="1" si="0"/>
        <v>June 2026</v>
      </c>
      <c r="S10" s="252">
        <f t="shared" si="3"/>
        <v>3714248.328674769</v>
      </c>
      <c r="T10" s="252"/>
      <c r="U10" s="254">
        <f t="shared" si="4"/>
        <v>953191.50173611101</v>
      </c>
      <c r="V10" s="254">
        <f t="shared" si="5"/>
        <v>872468.19250000012</v>
      </c>
      <c r="W10" s="252">
        <f t="shared" si="6"/>
        <v>1488000</v>
      </c>
      <c r="X10" s="252">
        <f t="shared" si="2"/>
        <v>0</v>
      </c>
      <c r="Y10" s="252">
        <f t="shared" si="1"/>
        <v>4051908.0229108799</v>
      </c>
      <c r="Z10" s="255"/>
      <c r="AA10" s="255"/>
      <c r="AB10" s="255"/>
      <c r="AC10" s="255"/>
    </row>
    <row r="11" spans="2:35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7"/>
        <v>46211</v>
      </c>
      <c r="R11" s="251" t="str">
        <f t="shared" ca="1" si="0"/>
        <v>July 2026</v>
      </c>
      <c r="S11" s="252">
        <f t="shared" si="3"/>
        <v>3735914.7772587053</v>
      </c>
      <c r="T11" s="252"/>
      <c r="U11" s="254">
        <f t="shared" si="4"/>
        <v>966134.76425057859</v>
      </c>
      <c r="V11" s="254">
        <f t="shared" si="5"/>
        <v>890624.25666666683</v>
      </c>
      <c r="W11" s="252">
        <f t="shared" si="6"/>
        <v>1488000</v>
      </c>
      <c r="X11" s="252">
        <f t="shared" si="2"/>
        <v>0</v>
      </c>
      <c r="Y11" s="252">
        <f t="shared" si="1"/>
        <v>4104673.7981759505</v>
      </c>
      <c r="Z11" s="255"/>
      <c r="AA11" s="255"/>
      <c r="AB11" s="255"/>
      <c r="AC11" s="255"/>
    </row>
    <row r="12" spans="2:35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7"/>
        <v>46241</v>
      </c>
      <c r="R12" s="251" t="str">
        <f t="shared" ca="1" si="0"/>
        <v>August 2026</v>
      </c>
      <c r="S12" s="252">
        <f t="shared" si="3"/>
        <v>3757707.6134593813</v>
      </c>
      <c r="T12" s="252"/>
      <c r="U12" s="254">
        <f t="shared" si="4"/>
        <v>979185.88728600007</v>
      </c>
      <c r="V12" s="254">
        <f t="shared" si="5"/>
        <v>908780.32083333354</v>
      </c>
      <c r="W12" s="252">
        <f t="shared" si="6"/>
        <v>1488000</v>
      </c>
      <c r="X12" s="252">
        <f t="shared" si="2"/>
        <v>0</v>
      </c>
      <c r="Y12" s="252">
        <f t="shared" si="1"/>
        <v>4157673.821578715</v>
      </c>
      <c r="Z12" s="255"/>
      <c r="AA12" s="255"/>
      <c r="AB12" s="255"/>
      <c r="AC12" s="255"/>
    </row>
    <row r="13" spans="2:35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7"/>
        <v>46271</v>
      </c>
      <c r="R13" s="251" t="str">
        <f t="shared" ca="1" si="0"/>
        <v>September 2026</v>
      </c>
      <c r="S13" s="252">
        <f t="shared" si="3"/>
        <v>3779627.5745378942</v>
      </c>
      <c r="T13" s="252"/>
      <c r="U13" s="254">
        <f t="shared" si="4"/>
        <v>992345.76968005009</v>
      </c>
      <c r="V13" s="254">
        <f t="shared" si="5"/>
        <v>926936.38500000024</v>
      </c>
      <c r="W13" s="252">
        <f t="shared" si="6"/>
        <v>1488000</v>
      </c>
      <c r="X13" s="252">
        <f t="shared" si="2"/>
        <v>0</v>
      </c>
      <c r="Y13" s="252">
        <f t="shared" si="1"/>
        <v>4210909.7292179447</v>
      </c>
      <c r="Z13" s="255"/>
      <c r="AA13" s="255"/>
      <c r="AB13" s="255"/>
      <c r="AC13" s="255"/>
    </row>
    <row r="14" spans="2:35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84</v>
      </c>
      <c r="F14" s="41"/>
      <c r="G14" s="97" t="s">
        <v>68</v>
      </c>
      <c r="H14" s="145">
        <f>C14/E45</f>
        <v>3.2239999999999998E-2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7"/>
        <v>46301</v>
      </c>
      <c r="R14" s="251" t="str">
        <f t="shared" ca="1" si="0"/>
        <v>October 2026</v>
      </c>
      <c r="S14" s="252">
        <f t="shared" si="3"/>
        <v>3801675.4020560319</v>
      </c>
      <c r="T14" s="252"/>
      <c r="U14" s="254">
        <f t="shared" si="4"/>
        <v>1005615.3177607171</v>
      </c>
      <c r="V14" s="254">
        <f t="shared" si="5"/>
        <v>945092.44916666695</v>
      </c>
      <c r="W14" s="252">
        <f t="shared" si="6"/>
        <v>1488000</v>
      </c>
      <c r="X14" s="252">
        <f t="shared" si="2"/>
        <v>0</v>
      </c>
      <c r="Y14" s="252">
        <f t="shared" si="1"/>
        <v>4264383.1689834157</v>
      </c>
      <c r="Z14" s="255"/>
      <c r="AA14" s="255"/>
      <c r="AB14" s="255"/>
      <c r="AC14" s="255"/>
    </row>
    <row r="15" spans="2:35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1570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7"/>
        <v>46331</v>
      </c>
      <c r="R15" s="251" t="str">
        <f t="shared" ca="1" si="0"/>
        <v>November 2026</v>
      </c>
      <c r="S15" s="252">
        <f t="shared" si="3"/>
        <v>3823851.8419013587</v>
      </c>
      <c r="T15" s="252"/>
      <c r="U15" s="254">
        <f t="shared" si="4"/>
        <v>1018995.4454087231</v>
      </c>
      <c r="V15" s="254">
        <f t="shared" si="5"/>
        <v>963248.51333333366</v>
      </c>
      <c r="W15" s="252">
        <f t="shared" si="6"/>
        <v>1488000</v>
      </c>
      <c r="X15" s="252">
        <f t="shared" si="2"/>
        <v>0</v>
      </c>
      <c r="Y15" s="252">
        <f t="shared" si="1"/>
        <v>4318095.8006434152</v>
      </c>
      <c r="Z15" s="255"/>
      <c r="AA15" s="255"/>
      <c r="AB15" s="255"/>
      <c r="AC15" s="255"/>
    </row>
    <row r="16" spans="2:35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7"/>
        <v>46361</v>
      </c>
      <c r="R16" s="251" t="str">
        <f t="shared" ca="1" si="0"/>
        <v>December 2026</v>
      </c>
      <c r="S16" s="252">
        <f t="shared" si="3"/>
        <v>3846157.6443124502</v>
      </c>
      <c r="T16" s="252"/>
      <c r="U16" s="254">
        <f t="shared" si="4"/>
        <v>1032487.0741204624</v>
      </c>
      <c r="V16" s="254">
        <f t="shared" si="5"/>
        <v>981404.57750000036</v>
      </c>
      <c r="W16" s="252">
        <f t="shared" si="6"/>
        <v>1488000</v>
      </c>
      <c r="X16" s="252">
        <f t="shared" si="2"/>
        <v>0</v>
      </c>
      <c r="Y16" s="252">
        <f t="shared" si="1"/>
        <v>4372049.2959329132</v>
      </c>
      <c r="Z16" s="255"/>
      <c r="AA16" s="255"/>
      <c r="AB16" s="255"/>
      <c r="AC16" s="255"/>
    </row>
    <row r="17" spans="2:29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28910</v>
      </c>
      <c r="K17" s="205"/>
      <c r="L17" s="215"/>
      <c r="M17" s="216"/>
      <c r="N17" s="210"/>
      <c r="P17" s="249">
        <v>11</v>
      </c>
      <c r="Q17" s="251">
        <f t="shared" ca="1" si="7"/>
        <v>46391</v>
      </c>
      <c r="R17" s="251" t="str">
        <f t="shared" ca="1" si="0"/>
        <v>January 2027</v>
      </c>
      <c r="S17" s="252">
        <f t="shared" si="3"/>
        <v>3868593.5639042729</v>
      </c>
      <c r="T17" s="252">
        <f>$V$4</f>
        <v>1000000</v>
      </c>
      <c r="U17" s="254">
        <f t="shared" si="4"/>
        <v>1046091.1330714662</v>
      </c>
      <c r="V17" s="254">
        <f t="shared" si="5"/>
        <v>999560.64166666707</v>
      </c>
      <c r="W17" s="252">
        <f t="shared" si="6"/>
        <v>1488000</v>
      </c>
      <c r="X17" s="252">
        <f t="shared" si="2"/>
        <v>1000000</v>
      </c>
      <c r="Y17" s="252">
        <f t="shared" si="1"/>
        <v>5426245.3386424053</v>
      </c>
      <c r="Z17" s="255"/>
      <c r="AA17" s="255"/>
      <c r="AB17" s="255"/>
      <c r="AC17" s="255"/>
    </row>
    <row r="18" spans="2:29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7"/>
        <v>46421</v>
      </c>
      <c r="R18" s="251" t="str">
        <f t="shared" ca="1" si="0"/>
        <v>February 2027</v>
      </c>
      <c r="S18" s="252">
        <f t="shared" si="3"/>
        <v>4891160.3596937144</v>
      </c>
      <c r="T18" s="252"/>
      <c r="U18" s="254">
        <f t="shared" si="4"/>
        <v>1059808.559180395</v>
      </c>
      <c r="V18" s="254">
        <f t="shared" si="5"/>
        <v>1017716.7058333338</v>
      </c>
      <c r="W18" s="252">
        <f t="shared" si="6"/>
        <v>2488000</v>
      </c>
      <c r="X18" s="252">
        <f t="shared" si="2"/>
        <v>0</v>
      </c>
      <c r="Y18" s="252">
        <f t="shared" si="1"/>
        <v>4480685.6247074427</v>
      </c>
      <c r="Z18" s="255"/>
      <c r="AA18" s="255"/>
      <c r="AB18" s="255"/>
      <c r="AC18" s="255"/>
    </row>
    <row r="19" spans="2:29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7"/>
        <v>46451</v>
      </c>
      <c r="R19" s="251" t="str">
        <f t="shared" ca="1" si="0"/>
        <v>March 2027</v>
      </c>
      <c r="S19" s="252">
        <f t="shared" si="3"/>
        <v>4919692.1284585949</v>
      </c>
      <c r="T19" s="252"/>
      <c r="U19" s="254">
        <f t="shared" si="4"/>
        <v>1073640.297173565</v>
      </c>
      <c r="V19" s="254">
        <f t="shared" si="5"/>
        <v>1035872.7700000005</v>
      </c>
      <c r="W19" s="252">
        <f t="shared" si="6"/>
        <v>2488000</v>
      </c>
      <c r="X19" s="252">
        <f t="shared" si="2"/>
        <v>0</v>
      </c>
      <c r="Y19" s="252">
        <f t="shared" si="1"/>
        <v>4541205.1956321606</v>
      </c>
      <c r="Z19" s="255"/>
      <c r="AA19" s="255"/>
      <c r="AB19" s="255"/>
      <c r="AC19" s="255"/>
    </row>
    <row r="20" spans="2:29" ht="33" x14ac:dyDescent="0.35">
      <c r="B20" s="97" t="s">
        <v>36</v>
      </c>
      <c r="C20" s="175">
        <f t="shared" ref="C20:C23" si="8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49">
        <v>14</v>
      </c>
      <c r="Q20" s="251">
        <f t="shared" ca="1" si="7"/>
        <v>46481</v>
      </c>
      <c r="R20" s="251" t="str">
        <f t="shared" ca="1" si="0"/>
        <v>April 2027</v>
      </c>
      <c r="S20" s="252">
        <f t="shared" si="3"/>
        <v>4948390.3325412702</v>
      </c>
      <c r="T20" s="252"/>
      <c r="U20" s="254">
        <f t="shared" si="4"/>
        <v>1087587.2996500114</v>
      </c>
      <c r="V20" s="254">
        <f t="shared" si="5"/>
        <v>1054028.8341666672</v>
      </c>
      <c r="W20" s="252">
        <f t="shared" si="6"/>
        <v>2488000</v>
      </c>
      <c r="X20" s="252">
        <f t="shared" si="2"/>
        <v>0</v>
      </c>
      <c r="Y20" s="252">
        <f t="shared" si="1"/>
        <v>4602006.4663579492</v>
      </c>
      <c r="Z20" s="255"/>
      <c r="AA20" s="255"/>
      <c r="AB20" s="255"/>
      <c r="AC20" s="255"/>
    </row>
    <row r="21" spans="2:29" ht="34" thickBot="1" x14ac:dyDescent="0.4">
      <c r="B21" s="97" t="str">
        <f>L21</f>
        <v>Interest Forest Lake</v>
      </c>
      <c r="C21" s="175">
        <f t="shared" si="8"/>
        <v>31232</v>
      </c>
      <c r="D21" s="176">
        <f>M21*I45/12</f>
        <v>2602.6666666666665</v>
      </c>
      <c r="E21" s="48"/>
      <c r="F21" s="121"/>
      <c r="G21" s="125"/>
      <c r="H21" s="22"/>
      <c r="I21" s="147"/>
      <c r="K21" s="205"/>
      <c r="L21" s="212" t="s">
        <v>167</v>
      </c>
      <c r="M21" s="225">
        <v>6.0999999999999999E-2</v>
      </c>
      <c r="N21" s="210"/>
      <c r="P21" s="249">
        <v>15</v>
      </c>
      <c r="Q21" s="251">
        <f t="shared" ca="1" si="7"/>
        <v>46511</v>
      </c>
      <c r="R21" s="251" t="str">
        <f t="shared" ca="1" si="0"/>
        <v>May 2027</v>
      </c>
      <c r="S21" s="252">
        <f t="shared" si="3"/>
        <v>4977255.9428144274</v>
      </c>
      <c r="T21" s="252"/>
      <c r="U21" s="254">
        <f t="shared" si="4"/>
        <v>1101650.5271470947</v>
      </c>
      <c r="V21" s="254">
        <f t="shared" si="5"/>
        <v>1072184.8983333339</v>
      </c>
      <c r="W21" s="252">
        <f t="shared" si="6"/>
        <v>2488000</v>
      </c>
      <c r="X21" s="252">
        <f t="shared" si="2"/>
        <v>0</v>
      </c>
      <c r="Y21" s="252">
        <f t="shared" si="1"/>
        <v>4663091.3682948556</v>
      </c>
      <c r="Z21" s="255"/>
      <c r="AA21" s="255"/>
      <c r="AB21" s="255"/>
      <c r="AC21" s="255"/>
    </row>
    <row r="22" spans="2:29" ht="34" thickBot="1" x14ac:dyDescent="0.4">
      <c r="B22" s="97" t="str">
        <f>L22</f>
        <v>Interest Strathpine</v>
      </c>
      <c r="C22" s="175">
        <f t="shared" si="8"/>
        <v>9760</v>
      </c>
      <c r="D22" s="176">
        <f>M22*I46/12</f>
        <v>813.33333333333337</v>
      </c>
      <c r="E22" s="49"/>
      <c r="F22" s="122"/>
      <c r="G22" s="157" t="s">
        <v>86</v>
      </c>
      <c r="H22" s="104">
        <f>I17-I28</f>
        <v>18156.064166666667</v>
      </c>
      <c r="I22" s="147"/>
      <c r="K22" s="205"/>
      <c r="L22" s="212" t="s">
        <v>168</v>
      </c>
      <c r="M22" s="225">
        <v>6.0999999999999999E-2</v>
      </c>
      <c r="N22" s="210"/>
      <c r="P22" s="249">
        <v>16</v>
      </c>
      <c r="Q22" s="251">
        <f t="shared" ca="1" si="7"/>
        <v>46541</v>
      </c>
      <c r="R22" s="251" t="str">
        <f t="shared" ca="1" si="0"/>
        <v>June 2027</v>
      </c>
      <c r="S22" s="252">
        <f t="shared" si="3"/>
        <v>5006289.9358141785</v>
      </c>
      <c r="T22" s="252"/>
      <c r="U22" s="254">
        <f t="shared" si="4"/>
        <v>1115830.9482066538</v>
      </c>
      <c r="V22" s="254">
        <f t="shared" si="5"/>
        <v>1090340.9625000006</v>
      </c>
      <c r="W22" s="252">
        <f t="shared" si="6"/>
        <v>2488000</v>
      </c>
      <c r="X22" s="252">
        <f t="shared" si="2"/>
        <v>0</v>
      </c>
      <c r="Y22" s="252">
        <f t="shared" si="1"/>
        <v>4724461.8465208327</v>
      </c>
      <c r="Z22" s="255"/>
      <c r="AA22" s="255"/>
      <c r="AB22" s="255"/>
      <c r="AC22" s="255"/>
    </row>
    <row r="23" spans="2:29" ht="33" x14ac:dyDescent="0.35">
      <c r="B23" s="97" t="s">
        <v>123</v>
      </c>
      <c r="C23" s="175">
        <f t="shared" si="8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7"/>
        <v>46571</v>
      </c>
      <c r="R23" s="251" t="str">
        <f t="shared" ca="1" si="0"/>
        <v>July 2027</v>
      </c>
      <c r="S23" s="252">
        <f t="shared" si="3"/>
        <v>5035493.2937730951</v>
      </c>
      <c r="T23" s="252"/>
      <c r="U23" s="254">
        <f t="shared" si="4"/>
        <v>1130129.5394417092</v>
      </c>
      <c r="V23" s="254">
        <f t="shared" si="5"/>
        <v>1108497.0266666673</v>
      </c>
      <c r="W23" s="252">
        <f t="shared" si="6"/>
        <v>2488000</v>
      </c>
      <c r="X23" s="252">
        <f t="shared" si="2"/>
        <v>0</v>
      </c>
      <c r="Y23" s="252">
        <f t="shared" si="1"/>
        <v>4786119.8598814718</v>
      </c>
      <c r="Z23" s="255"/>
      <c r="AA23" s="255"/>
      <c r="AB23" s="255"/>
      <c r="AC23" s="255"/>
    </row>
    <row r="24" spans="2:29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7"/>
        <v>46601</v>
      </c>
      <c r="R24" s="251" t="str">
        <f t="shared" ca="1" si="0"/>
        <v>August 2027</v>
      </c>
      <c r="S24" s="252">
        <f t="shared" si="3"/>
        <v>5064867.004653438</v>
      </c>
      <c r="T24" s="252"/>
      <c r="U24" s="254">
        <f t="shared" si="4"/>
        <v>1144547.2856037235</v>
      </c>
      <c r="V24" s="254">
        <f t="shared" si="5"/>
        <v>1126653.090833334</v>
      </c>
      <c r="W24" s="252">
        <f t="shared" si="6"/>
        <v>2488000</v>
      </c>
      <c r="X24" s="252">
        <f t="shared" si="2"/>
        <v>0</v>
      </c>
      <c r="Y24" s="252">
        <f t="shared" si="1"/>
        <v>4848067.3810904957</v>
      </c>
      <c r="Z24" s="255"/>
      <c r="AA24" s="255"/>
      <c r="AB24" s="255"/>
      <c r="AC24" s="255"/>
    </row>
    <row r="25" spans="2:29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7"/>
        <v>46631</v>
      </c>
      <c r="R25" s="251" t="str">
        <f t="shared" ca="1" si="0"/>
        <v>September 2027</v>
      </c>
      <c r="S25" s="252">
        <f t="shared" si="3"/>
        <v>5094412.0621805834</v>
      </c>
      <c r="T25" s="252"/>
      <c r="U25" s="254">
        <f t="shared" si="4"/>
        <v>1159085.1796504213</v>
      </c>
      <c r="V25" s="254">
        <f t="shared" si="5"/>
        <v>1144809.1550000007</v>
      </c>
      <c r="W25" s="252">
        <f t="shared" si="6"/>
        <v>2488000</v>
      </c>
      <c r="X25" s="252">
        <f t="shared" si="2"/>
        <v>0</v>
      </c>
      <c r="Y25" s="252">
        <f t="shared" si="1"/>
        <v>4910306.3968310058</v>
      </c>
      <c r="Z25" s="255"/>
      <c r="AA25" s="255"/>
      <c r="AB25" s="255"/>
      <c r="AC25" s="255"/>
    </row>
    <row r="26" spans="2:29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7"/>
        <v>46661</v>
      </c>
      <c r="R26" s="251" t="str">
        <f t="shared" ca="1" si="0"/>
        <v>October 2027</v>
      </c>
      <c r="S26" s="252">
        <f t="shared" si="3"/>
        <v>5124129.465876637</v>
      </c>
      <c r="T26" s="252"/>
      <c r="U26" s="254">
        <f t="shared" si="4"/>
        <v>1173744.2228141748</v>
      </c>
      <c r="V26" s="254">
        <f t="shared" si="5"/>
        <v>1162965.2191666674</v>
      </c>
      <c r="W26" s="252">
        <f t="shared" si="6"/>
        <v>2488000</v>
      </c>
      <c r="X26" s="252">
        <f t="shared" si="2"/>
        <v>0</v>
      </c>
      <c r="Y26" s="252">
        <f t="shared" si="1"/>
        <v>4972838.9078574786</v>
      </c>
      <c r="Z26" s="255"/>
      <c r="AA26" s="255"/>
      <c r="AB26" s="255"/>
      <c r="AC26" s="255"/>
    </row>
    <row r="27" spans="2:29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7"/>
        <v>46691</v>
      </c>
      <c r="R27" s="251" t="str">
        <f t="shared" ca="1" si="0"/>
        <v>October 2027</v>
      </c>
      <c r="S27" s="252">
        <f t="shared" si="3"/>
        <v>5154020.2210942507</v>
      </c>
      <c r="T27" s="252"/>
      <c r="U27" s="254">
        <f t="shared" si="4"/>
        <v>1188525.4246709596</v>
      </c>
      <c r="V27" s="254">
        <f t="shared" si="5"/>
        <v>1181121.2833333341</v>
      </c>
      <c r="W27" s="252">
        <f t="shared" si="6"/>
        <v>2488000</v>
      </c>
      <c r="X27" s="252">
        <f t="shared" si="2"/>
        <v>0</v>
      </c>
      <c r="Y27" s="252">
        <f t="shared" si="1"/>
        <v>5035666.9290985446</v>
      </c>
      <c r="Z27" s="255"/>
      <c r="AA27" s="255"/>
      <c r="AB27" s="255"/>
      <c r="AC27" s="255"/>
    </row>
    <row r="28" spans="2:29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10753.935833333333</v>
      </c>
      <c r="K28" s="205"/>
      <c r="L28" s="211" t="s">
        <v>119</v>
      </c>
      <c r="M28" s="217">
        <f>SUM(M29:M36)</f>
        <v>7337.935833333333</v>
      </c>
      <c r="N28" s="205"/>
      <c r="P28" s="249">
        <v>22</v>
      </c>
      <c r="Q28" s="251">
        <f t="shared" ca="1" si="7"/>
        <v>46721</v>
      </c>
      <c r="R28" s="251" t="str">
        <f t="shared" ca="1" si="0"/>
        <v>November 2027</v>
      </c>
      <c r="S28" s="252">
        <f t="shared" si="3"/>
        <v>5184085.3390506338</v>
      </c>
      <c r="T28" s="252">
        <f>$V$4</f>
        <v>1000000</v>
      </c>
      <c r="U28" s="254">
        <f t="shared" si="4"/>
        <v>1203429.8032098843</v>
      </c>
      <c r="V28" s="254">
        <f t="shared" si="5"/>
        <v>1199277.3475000008</v>
      </c>
      <c r="W28" s="252">
        <f t="shared" si="6"/>
        <v>2488000</v>
      </c>
      <c r="X28" s="252">
        <f t="shared" si="2"/>
        <v>1000000</v>
      </c>
      <c r="Y28" s="252">
        <f t="shared" si="1"/>
        <v>6098792.4897605181</v>
      </c>
      <c r="Z28" s="255"/>
      <c r="AA28" s="255"/>
      <c r="AB28" s="255"/>
      <c r="AC28" s="255"/>
    </row>
    <row r="29" spans="2:29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7"/>
        <v>46751</v>
      </c>
      <c r="R29" s="251" t="str">
        <f t="shared" ca="1" si="0"/>
        <v>December 2027</v>
      </c>
      <c r="S29" s="252">
        <f t="shared" si="3"/>
        <v>6214325.8368617622</v>
      </c>
      <c r="T29" s="252"/>
      <c r="U29" s="254">
        <f t="shared" si="4"/>
        <v>1218458.3849033001</v>
      </c>
      <c r="V29" s="254">
        <f t="shared" si="5"/>
        <v>1217433.4116666676</v>
      </c>
      <c r="W29" s="252">
        <f t="shared" si="6"/>
        <v>3488000</v>
      </c>
      <c r="X29" s="252">
        <f t="shared" si="2"/>
        <v>0</v>
      </c>
      <c r="Y29" s="252">
        <f t="shared" si="1"/>
        <v>5162217.6334317289</v>
      </c>
      <c r="Z29" s="255"/>
      <c r="AA29" s="255"/>
      <c r="AB29" s="255"/>
      <c r="AC29" s="255"/>
    </row>
    <row r="30" spans="2:29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7"/>
        <v>46781</v>
      </c>
      <c r="R30" s="251" t="str">
        <f t="shared" ca="1" si="0"/>
        <v>January 2028</v>
      </c>
      <c r="S30" s="252">
        <f t="shared" si="3"/>
        <v>6250576.0709101222</v>
      </c>
      <c r="T30" s="252"/>
      <c r="U30" s="254">
        <f t="shared" si="4"/>
        <v>1233612.2047774943</v>
      </c>
      <c r="V30" s="254">
        <f t="shared" si="5"/>
        <v>1235589.4758333343</v>
      </c>
      <c r="W30" s="252">
        <f t="shared" si="6"/>
        <v>3488000</v>
      </c>
      <c r="X30" s="252">
        <f t="shared" si="2"/>
        <v>0</v>
      </c>
      <c r="Y30" s="252">
        <f t="shared" si="1"/>
        <v>5231777.7515209503</v>
      </c>
      <c r="Z30" s="255"/>
      <c r="AA30" s="255"/>
      <c r="AB30" s="255"/>
      <c r="AC30" s="255"/>
    </row>
    <row r="31" spans="2:29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7"/>
        <v>46811</v>
      </c>
      <c r="R31" s="251" t="str">
        <f t="shared" ca="1" si="0"/>
        <v>February 2028</v>
      </c>
      <c r="S31" s="252">
        <f t="shared" si="3"/>
        <v>6287037.7646570979</v>
      </c>
      <c r="T31" s="252"/>
      <c r="U31" s="254">
        <f t="shared" si="4"/>
        <v>1248892.3064839733</v>
      </c>
      <c r="V31" s="254">
        <f t="shared" si="5"/>
        <v>1253745.540000001</v>
      </c>
      <c r="W31" s="252">
        <f t="shared" si="6"/>
        <v>3488000</v>
      </c>
      <c r="X31" s="252">
        <f t="shared" si="2"/>
        <v>0</v>
      </c>
      <c r="Y31" s="252">
        <f t="shared" si="1"/>
        <v>5301675.6111410726</v>
      </c>
      <c r="Z31" s="255"/>
      <c r="AA31" s="255"/>
      <c r="AB31" s="255"/>
      <c r="AC31" s="255"/>
    </row>
    <row r="32" spans="2:29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7"/>
        <v>46841</v>
      </c>
      <c r="R32" s="251" t="str">
        <f t="shared" ca="1" si="0"/>
        <v>March 2028</v>
      </c>
      <c r="S32" s="252">
        <f t="shared" si="3"/>
        <v>6323712.1516175978</v>
      </c>
      <c r="T32" s="252"/>
      <c r="U32" s="254">
        <f t="shared" si="4"/>
        <v>1264299.7423713396</v>
      </c>
      <c r="V32" s="254">
        <f t="shared" si="5"/>
        <v>1271901.6041666677</v>
      </c>
      <c r="W32" s="252">
        <f t="shared" si="6"/>
        <v>3488000</v>
      </c>
      <c r="X32" s="252">
        <f t="shared" si="2"/>
        <v>0</v>
      </c>
      <c r="Y32" s="252">
        <f t="shared" si="1"/>
        <v>5371913.498155605</v>
      </c>
      <c r="Z32" s="255"/>
      <c r="AA32" s="255"/>
      <c r="AB32" s="255"/>
      <c r="AC32" s="255"/>
    </row>
    <row r="33" spans="2:29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7"/>
        <v>46871</v>
      </c>
      <c r="R33" s="251" t="str">
        <f t="shared" ca="1" si="0"/>
        <v>April 2028</v>
      </c>
      <c r="S33" s="252">
        <f t="shared" si="3"/>
        <v>6360600.4725020342</v>
      </c>
      <c r="T33" s="252"/>
      <c r="U33" s="254">
        <f t="shared" si="4"/>
        <v>1279835.5735577673</v>
      </c>
      <c r="V33" s="254">
        <f t="shared" si="5"/>
        <v>1290057.6683333344</v>
      </c>
      <c r="W33" s="252">
        <f t="shared" si="6"/>
        <v>3488000</v>
      </c>
      <c r="X33" s="252">
        <f t="shared" si="2"/>
        <v>0</v>
      </c>
      <c r="Y33" s="252">
        <f t="shared" si="1"/>
        <v>5442493.7143931352</v>
      </c>
      <c r="Z33" s="255"/>
      <c r="AA33" s="255"/>
      <c r="AB33" s="255"/>
      <c r="AC33" s="255"/>
    </row>
    <row r="34" spans="2:29" ht="33" x14ac:dyDescent="0.35">
      <c r="B34" s="160" t="s">
        <v>46</v>
      </c>
      <c r="C34" s="22"/>
      <c r="D34" s="107"/>
      <c r="E34" s="179">
        <f>M40</f>
        <v>818000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7"/>
        <v>46901</v>
      </c>
      <c r="R34" s="251" t="str">
        <f t="shared" ca="1" si="0"/>
        <v>May 2028</v>
      </c>
      <c r="S34" s="252">
        <f t="shared" si="3"/>
        <v>6397703.9752582964</v>
      </c>
      <c r="T34" s="252"/>
      <c r="U34" s="254">
        <f t="shared" si="4"/>
        <v>1295500.8700040821</v>
      </c>
      <c r="V34" s="254">
        <f t="shared" si="5"/>
        <v>1308213.7325000011</v>
      </c>
      <c r="W34" s="252">
        <f t="shared" si="6"/>
        <v>3488000</v>
      </c>
      <c r="X34" s="252">
        <f t="shared" si="2"/>
        <v>0</v>
      </c>
      <c r="Y34" s="252">
        <f t="shared" si="1"/>
        <v>5513418.5777623802</v>
      </c>
      <c r="Z34" s="255"/>
      <c r="AA34" s="255"/>
      <c r="AB34" s="255"/>
      <c r="AC34" s="255"/>
    </row>
    <row r="35" spans="2:29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7"/>
        <v>46931</v>
      </c>
      <c r="R35" s="251" t="str">
        <f t="shared" ca="1" si="0"/>
        <v>June 2028</v>
      </c>
      <c r="S35" s="252">
        <f t="shared" si="3"/>
        <v>6435023.9151139697</v>
      </c>
      <c r="T35" s="252"/>
      <c r="U35" s="254">
        <f t="shared" si="4"/>
        <v>1311296.7105874494</v>
      </c>
      <c r="V35" s="254">
        <f t="shared" si="5"/>
        <v>1326369.7966666678</v>
      </c>
      <c r="W35" s="252">
        <f t="shared" si="6"/>
        <v>3488000</v>
      </c>
      <c r="X35" s="252">
        <f t="shared" si="2"/>
        <v>0</v>
      </c>
      <c r="Y35" s="252">
        <f t="shared" si="1"/>
        <v>5584690.4223680869</v>
      </c>
      <c r="Z35" s="255"/>
      <c r="AA35" s="255"/>
      <c r="AB35" s="255"/>
      <c r="AC35" s="255"/>
    </row>
    <row r="36" spans="2:29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7"/>
        <v>46961</v>
      </c>
      <c r="R36" s="251" t="str">
        <f t="shared" ca="1" si="0"/>
        <v>July 2028</v>
      </c>
      <c r="S36" s="252">
        <f t="shared" si="3"/>
        <v>6472561.554618801</v>
      </c>
      <c r="T36" s="252"/>
      <c r="U36" s="254">
        <f t="shared" si="4"/>
        <v>1327224.1831756781</v>
      </c>
      <c r="V36" s="254">
        <f t="shared" si="5"/>
        <v>1344525.8608333345</v>
      </c>
      <c r="W36" s="252">
        <f t="shared" si="6"/>
        <v>3488000</v>
      </c>
      <c r="X36" s="252">
        <f t="shared" si="2"/>
        <v>0</v>
      </c>
      <c r="Y36" s="252">
        <f t="shared" si="1"/>
        <v>5656311.5986278132</v>
      </c>
      <c r="Z36" s="255"/>
      <c r="AA36" s="255"/>
      <c r="AB36" s="255"/>
      <c r="AC36" s="255"/>
    </row>
    <row r="37" spans="2:29" ht="31" x14ac:dyDescent="0.3">
      <c r="B37" s="160" t="s">
        <v>51</v>
      </c>
      <c r="C37" s="22"/>
      <c r="D37" s="107"/>
      <c r="E37" s="179">
        <f>M43</f>
        <v>183000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7"/>
        <v>46991</v>
      </c>
      <c r="R37" s="251" t="str">
        <f t="shared" ca="1" si="0"/>
        <v>August 2028</v>
      </c>
      <c r="S37" s="252">
        <f t="shared" si="3"/>
        <v>6510318.1636874108</v>
      </c>
      <c r="T37" s="252"/>
      <c r="U37" s="254">
        <f t="shared" si="4"/>
        <v>1343284.3847021421</v>
      </c>
      <c r="V37" s="254">
        <f t="shared" si="5"/>
        <v>1362681.9250000012</v>
      </c>
      <c r="W37" s="252">
        <f t="shared" si="6"/>
        <v>3488000</v>
      </c>
      <c r="X37" s="252">
        <f t="shared" si="2"/>
        <v>0</v>
      </c>
      <c r="Y37" s="252">
        <f t="shared" si="1"/>
        <v>5728284.4733895548</v>
      </c>
      <c r="Z37" s="255"/>
      <c r="AA37" s="255"/>
      <c r="AB37" s="255"/>
      <c r="AC37" s="255"/>
    </row>
    <row r="38" spans="2:29" ht="29" customHeight="1" thickBot="1" x14ac:dyDescent="0.4">
      <c r="B38" s="160" t="s">
        <v>52</v>
      </c>
      <c r="C38" s="22"/>
      <c r="D38" s="107"/>
      <c r="E38" s="179">
        <f>M44</f>
        <v>202000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7"/>
        <v>47021</v>
      </c>
      <c r="R38" s="251" t="str">
        <f t="shared" ca="1" si="0"/>
        <v>September 2028</v>
      </c>
      <c r="S38" s="252">
        <f t="shared" si="3"/>
        <v>6548295.0196422543</v>
      </c>
      <c r="T38" s="252"/>
      <c r="U38" s="254">
        <f t="shared" si="4"/>
        <v>1359478.4212413265</v>
      </c>
      <c r="V38" s="254">
        <f t="shared" si="5"/>
        <v>1380837.9891666679</v>
      </c>
      <c r="W38" s="252">
        <f t="shared" si="6"/>
        <v>3488000</v>
      </c>
      <c r="X38" s="252">
        <f t="shared" si="2"/>
        <v>0</v>
      </c>
      <c r="Y38" s="252">
        <f t="shared" si="1"/>
        <v>5800611.4300502483</v>
      </c>
      <c r="Z38" s="255"/>
      <c r="AA38" s="255"/>
      <c r="AB38" s="255"/>
      <c r="AC38" s="255"/>
    </row>
    <row r="39" spans="2:29" ht="33" x14ac:dyDescent="0.35">
      <c r="B39" s="160" t="s">
        <v>54</v>
      </c>
      <c r="C39" s="22"/>
      <c r="D39" s="107"/>
      <c r="E39" s="179">
        <f>M45</f>
        <v>530000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7"/>
        <v>47051</v>
      </c>
      <c r="R39" s="251" t="str">
        <f t="shared" ca="1" si="0"/>
        <v>October 2028</v>
      </c>
      <c r="S39" s="252">
        <f t="shared" si="3"/>
        <v>6586493.4072568342</v>
      </c>
      <c r="T39" s="252"/>
      <c r="U39" s="254">
        <f t="shared" si="4"/>
        <v>1375807.4080850042</v>
      </c>
      <c r="V39" s="254">
        <f t="shared" si="5"/>
        <v>1398994.0533333346</v>
      </c>
      <c r="W39" s="252">
        <f t="shared" si="6"/>
        <v>3488000</v>
      </c>
      <c r="X39" s="252">
        <f t="shared" si="2"/>
        <v>0</v>
      </c>
      <c r="Y39" s="252">
        <f t="shared" si="1"/>
        <v>5873294.8686751723</v>
      </c>
      <c r="Z39" s="255"/>
      <c r="AA39" s="255"/>
      <c r="AB39" s="255"/>
      <c r="AC39" s="255"/>
    </row>
    <row r="40" spans="2:29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818000</v>
      </c>
      <c r="N40" s="210"/>
      <c r="P40" s="249">
        <v>34</v>
      </c>
      <c r="Q40" s="251">
        <f t="shared" ca="1" si="7"/>
        <v>47081</v>
      </c>
      <c r="R40" s="251" t="str">
        <f t="shared" ca="1" si="0"/>
        <v>November 2028</v>
      </c>
      <c r="S40" s="252">
        <f t="shared" si="3"/>
        <v>6624914.6187991658</v>
      </c>
      <c r="T40" s="252">
        <f>$V$4</f>
        <v>1000000</v>
      </c>
      <c r="U40" s="254">
        <f t="shared" si="4"/>
        <v>1392272.4698190459</v>
      </c>
      <c r="V40" s="254">
        <f t="shared" si="5"/>
        <v>1417150.1175000013</v>
      </c>
      <c r="W40" s="252">
        <f t="shared" si="6"/>
        <v>3488000</v>
      </c>
      <c r="X40" s="252">
        <f t="shared" si="2"/>
        <v>1000000</v>
      </c>
      <c r="Y40" s="252">
        <f t="shared" si="1"/>
        <v>6946337.206118213</v>
      </c>
      <c r="Z40" s="255"/>
      <c r="AA40" s="255"/>
      <c r="AB40" s="255"/>
      <c r="AC40" s="255"/>
    </row>
    <row r="41" spans="2:29" ht="33" x14ac:dyDescent="0.35">
      <c r="B41" s="160" t="s">
        <v>65</v>
      </c>
      <c r="C41" s="22"/>
      <c r="D41" s="107"/>
      <c r="E41" s="179">
        <f>M47</f>
        <v>220000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7"/>
        <v>47111</v>
      </c>
      <c r="R41" s="251" t="str">
        <f t="shared" ca="1" si="0"/>
        <v>December 2028</v>
      </c>
      <c r="S41" s="252">
        <f t="shared" si="3"/>
        <v>7663559.9540754948</v>
      </c>
      <c r="T41" s="252"/>
      <c r="U41" s="254">
        <f t="shared" si="4"/>
        <v>1408874.7404008713</v>
      </c>
      <c r="V41" s="254">
        <f t="shared" si="5"/>
        <v>1435306.181666668</v>
      </c>
      <c r="W41" s="252">
        <f t="shared" si="6"/>
        <v>4488000</v>
      </c>
      <c r="X41" s="252">
        <f t="shared" si="2"/>
        <v>0</v>
      </c>
      <c r="Y41" s="252">
        <f t="shared" si="1"/>
        <v>6019740.8761430345</v>
      </c>
      <c r="Z41" s="255"/>
      <c r="AA41" s="255"/>
      <c r="AB41" s="255"/>
      <c r="AC41" s="255"/>
    </row>
    <row r="42" spans="2:29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7"/>
        <v>47141</v>
      </c>
      <c r="R42" s="251" t="str">
        <f t="shared" ca="1" si="0"/>
        <v>January 2029</v>
      </c>
      <c r="S42" s="252">
        <f t="shared" si="3"/>
        <v>7708264.0538076023</v>
      </c>
      <c r="T42" s="252"/>
      <c r="U42" s="254">
        <f t="shared" si="4"/>
        <v>1425615.3632375451</v>
      </c>
      <c r="V42" s="254">
        <f t="shared" si="5"/>
        <v>1453462.2458333347</v>
      </c>
      <c r="W42" s="252">
        <f t="shared" si="6"/>
        <v>4488000</v>
      </c>
      <c r="X42" s="252">
        <f t="shared" si="2"/>
        <v>0</v>
      </c>
      <c r="Y42" s="252">
        <f t="shared" si="1"/>
        <v>6099341.6628784835</v>
      </c>
      <c r="Z42" s="255"/>
      <c r="AA42" s="255"/>
      <c r="AB42" s="255"/>
      <c r="AC42" s="255"/>
    </row>
    <row r="43" spans="2:29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183000</v>
      </c>
      <c r="N43" s="210"/>
      <c r="P43" s="249">
        <v>37</v>
      </c>
      <c r="Q43" s="251">
        <f t="shared" ca="1" si="7"/>
        <v>47171</v>
      </c>
      <c r="R43" s="251" t="str">
        <f t="shared" ca="1" si="0"/>
        <v>February 2029</v>
      </c>
      <c r="S43" s="252">
        <f t="shared" si="3"/>
        <v>7753228.9274548134</v>
      </c>
      <c r="T43" s="252"/>
      <c r="U43" s="254">
        <f t="shared" si="4"/>
        <v>1442495.4912645246</v>
      </c>
      <c r="V43" s="254">
        <f t="shared" si="5"/>
        <v>1471618.3100000015</v>
      </c>
      <c r="W43" s="252">
        <f t="shared" si="6"/>
        <v>4488000</v>
      </c>
      <c r="X43" s="252">
        <f t="shared" si="2"/>
        <v>0</v>
      </c>
      <c r="Y43" s="252">
        <f t="shared" si="1"/>
        <v>6179342.7287193388</v>
      </c>
      <c r="Z43" s="255"/>
      <c r="AA43" s="255"/>
      <c r="AB43" s="255"/>
      <c r="AC43" s="255"/>
    </row>
    <row r="44" spans="2:29" ht="33" x14ac:dyDescent="0.35">
      <c r="B44" s="160" t="s">
        <v>2</v>
      </c>
      <c r="D44" s="182">
        <f>E44-I44</f>
        <v>1186000</v>
      </c>
      <c r="E44" s="179">
        <f>M50</f>
        <v>2000000</v>
      </c>
      <c r="G44" s="97" t="s">
        <v>6</v>
      </c>
      <c r="H44" s="22"/>
      <c r="I44" s="109">
        <f>M62</f>
        <v>814000</v>
      </c>
      <c r="K44" s="205"/>
      <c r="L44" s="212" t="s">
        <v>80</v>
      </c>
      <c r="M44" s="223">
        <v>202000</v>
      </c>
      <c r="N44" s="210"/>
      <c r="P44" s="249">
        <v>38</v>
      </c>
      <c r="Q44" s="251">
        <f t="shared" ca="1" si="7"/>
        <v>47201</v>
      </c>
      <c r="R44" s="251" t="str">
        <f t="shared" ca="1" si="0"/>
        <v>March 2029</v>
      </c>
      <c r="S44" s="252">
        <f t="shared" si="3"/>
        <v>7798456.0961982999</v>
      </c>
      <c r="T44" s="252"/>
      <c r="U44" s="254">
        <f t="shared" si="4"/>
        <v>1459516.2870250624</v>
      </c>
      <c r="V44" s="254">
        <f t="shared" si="5"/>
        <v>1489774.3741666682</v>
      </c>
      <c r="W44" s="252">
        <f t="shared" si="6"/>
        <v>4488000</v>
      </c>
      <c r="X44" s="252">
        <f t="shared" si="2"/>
        <v>0</v>
      </c>
      <c r="Y44" s="252">
        <f t="shared" si="1"/>
        <v>6259746.7573900297</v>
      </c>
      <c r="Z44" s="255"/>
      <c r="AA44" s="255"/>
      <c r="AB44" s="255"/>
      <c r="AC44" s="255"/>
    </row>
    <row r="45" spans="2:29" ht="33" x14ac:dyDescent="0.35">
      <c r="B45" s="160" t="str">
        <f>L51</f>
        <v>Investment 1 - Forest Lake value</v>
      </c>
      <c r="D45" s="182">
        <f>E45-I45</f>
        <v>488000</v>
      </c>
      <c r="E45" s="179">
        <f>M51</f>
        <v>1000000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530000</v>
      </c>
      <c r="N45" s="210"/>
      <c r="P45" s="249">
        <v>39</v>
      </c>
      <c r="Q45" s="251">
        <f t="shared" ca="1" si="7"/>
        <v>47231</v>
      </c>
      <c r="R45" s="251" t="str">
        <f t="shared" ca="1" si="0"/>
        <v>April 2029</v>
      </c>
      <c r="S45" s="252">
        <f t="shared" si="3"/>
        <v>7843947.0900927903</v>
      </c>
      <c r="T45" s="252"/>
      <c r="U45" s="254">
        <f t="shared" si="4"/>
        <v>1476678.9227502712</v>
      </c>
      <c r="V45" s="254">
        <f t="shared" si="5"/>
        <v>1507930.4383333349</v>
      </c>
      <c r="W45" s="252">
        <f t="shared" si="6"/>
        <v>4488000</v>
      </c>
      <c r="X45" s="252">
        <f t="shared" si="2"/>
        <v>0</v>
      </c>
      <c r="Y45" s="252">
        <f t="shared" si="1"/>
        <v>6340556.4511763956</v>
      </c>
      <c r="Z45" s="255"/>
      <c r="AA45" s="255"/>
      <c r="AB45" s="255"/>
      <c r="AC45" s="255"/>
    </row>
    <row r="46" spans="2:29" ht="33" x14ac:dyDescent="0.35">
      <c r="B46" s="160" t="str">
        <f>L52</f>
        <v>Investment 2 - Strathpine value</v>
      </c>
      <c r="D46" s="182">
        <f>E46-I46</f>
        <v>490000</v>
      </c>
      <c r="E46" s="179">
        <f>M52</f>
        <v>650000</v>
      </c>
      <c r="G46" s="97" t="s">
        <v>4</v>
      </c>
      <c r="H46" s="22"/>
      <c r="I46" s="109">
        <f>M65</f>
        <v>160000</v>
      </c>
      <c r="K46" s="205"/>
      <c r="L46" s="212"/>
      <c r="M46" s="213"/>
      <c r="N46" s="210"/>
      <c r="P46" s="249">
        <v>40</v>
      </c>
      <c r="Q46" s="251">
        <f t="shared" ca="1" si="7"/>
        <v>47261</v>
      </c>
      <c r="R46" s="251" t="str">
        <f t="shared" ca="1" si="0"/>
        <v>May 2029</v>
      </c>
      <c r="S46" s="252">
        <f t="shared" si="3"/>
        <v>7889703.4481183318</v>
      </c>
      <c r="T46" s="252"/>
      <c r="U46" s="254">
        <f t="shared" si="4"/>
        <v>1493984.5804398567</v>
      </c>
      <c r="V46" s="254">
        <f t="shared" si="5"/>
        <v>1526086.5025000016</v>
      </c>
      <c r="W46" s="252">
        <f t="shared" si="6"/>
        <v>4488000</v>
      </c>
      <c r="X46" s="252">
        <f t="shared" si="2"/>
        <v>0</v>
      </c>
      <c r="Y46" s="252">
        <f t="shared" si="1"/>
        <v>6421774.5310581904</v>
      </c>
      <c r="Z46" s="255"/>
      <c r="AA46" s="255"/>
      <c r="AB46" s="255"/>
      <c r="AC46" s="255"/>
    </row>
    <row r="47" spans="2:29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220000</v>
      </c>
      <c r="N47" s="210"/>
      <c r="P47" s="249">
        <v>41</v>
      </c>
      <c r="Q47" s="251">
        <f t="shared" ca="1" si="7"/>
        <v>47291</v>
      </c>
      <c r="R47" s="251" t="str">
        <f t="shared" ca="1" si="0"/>
        <v>June 2029</v>
      </c>
      <c r="S47" s="252">
        <f t="shared" si="3"/>
        <v>7935726.718232356</v>
      </c>
      <c r="T47" s="252"/>
      <c r="U47" s="254">
        <f t="shared" si="4"/>
        <v>1511434.4519435221</v>
      </c>
      <c r="V47" s="254">
        <f t="shared" si="5"/>
        <v>1544242.5666666683</v>
      </c>
      <c r="W47" s="252">
        <f t="shared" si="6"/>
        <v>4488000</v>
      </c>
      <c r="X47" s="252">
        <f t="shared" si="2"/>
        <v>0</v>
      </c>
      <c r="Y47" s="252">
        <f t="shared" si="1"/>
        <v>6503403.7368425466</v>
      </c>
      <c r="Z47" s="255"/>
      <c r="AA47" s="255"/>
      <c r="AB47" s="255"/>
      <c r="AC47" s="255"/>
    </row>
    <row r="48" spans="2:29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7"/>
        <v>47321</v>
      </c>
      <c r="R48" s="251" t="str">
        <f t="shared" ca="1" si="0"/>
        <v>July 2029</v>
      </c>
      <c r="S48" s="252">
        <f t="shared" si="3"/>
        <v>7982018.4574220451</v>
      </c>
      <c r="T48" s="252"/>
      <c r="U48" s="254">
        <f t="shared" si="4"/>
        <v>1529029.7390430514</v>
      </c>
      <c r="V48" s="254">
        <f t="shared" si="5"/>
        <v>1562398.630833335</v>
      </c>
      <c r="W48" s="252">
        <f t="shared" si="6"/>
        <v>4488000</v>
      </c>
      <c r="X48" s="252">
        <f t="shared" si="2"/>
        <v>0</v>
      </c>
      <c r="Y48" s="252">
        <f t="shared" si="1"/>
        <v>6585446.8272984326</v>
      </c>
      <c r="Z48" s="255"/>
      <c r="AA48" s="255"/>
      <c r="AB48" s="255"/>
      <c r="AC48" s="255"/>
    </row>
    <row r="49" spans="2:29" ht="34" thickBot="1" x14ac:dyDescent="0.4">
      <c r="B49" s="128" t="s">
        <v>156</v>
      </c>
      <c r="C49" s="108"/>
      <c r="D49" s="107"/>
      <c r="E49" s="148">
        <f>SUM(E34:E48)</f>
        <v>5803000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7"/>
        <v>47351</v>
      </c>
      <c r="R49" s="251" t="str">
        <f t="shared" ca="1" si="0"/>
        <v>August 2029</v>
      </c>
      <c r="S49" s="252">
        <f t="shared" si="3"/>
        <v>8028580.2317570075</v>
      </c>
      <c r="T49" s="252"/>
      <c r="U49" s="254">
        <f t="shared" si="4"/>
        <v>1546771.6535350766</v>
      </c>
      <c r="V49" s="254">
        <f t="shared" si="5"/>
        <v>1580554.6950000017</v>
      </c>
      <c r="W49" s="252">
        <f t="shared" si="6"/>
        <v>4488000</v>
      </c>
      <c r="X49" s="252">
        <f t="shared" si="2"/>
        <v>0</v>
      </c>
      <c r="Y49" s="252">
        <f t="shared" si="1"/>
        <v>6667906.580292087</v>
      </c>
      <c r="Z49" s="255"/>
      <c r="AA49" s="255"/>
      <c r="AB49" s="255"/>
      <c r="AC49" s="255"/>
    </row>
    <row r="50" spans="2:29" s="17" customFormat="1" ht="34" thickBot="1" x14ac:dyDescent="0.4">
      <c r="B50" s="186" t="s">
        <v>60</v>
      </c>
      <c r="C50" s="187"/>
      <c r="D50" s="187"/>
      <c r="E50" s="188">
        <f>SUM(E49-E42-E41)</f>
        <v>5383000</v>
      </c>
      <c r="G50" s="64" t="s">
        <v>59</v>
      </c>
      <c r="H50" s="51"/>
      <c r="I50" s="52">
        <f>SUM(I35:I49)</f>
        <v>1488000</v>
      </c>
      <c r="K50" s="206"/>
      <c r="L50" s="212" t="s">
        <v>82</v>
      </c>
      <c r="M50" s="223">
        <v>2000000</v>
      </c>
      <c r="N50" s="210"/>
      <c r="O50" s="18"/>
      <c r="P50" s="249">
        <v>44</v>
      </c>
      <c r="Q50" s="251">
        <f t="shared" ca="1" si="7"/>
        <v>47381</v>
      </c>
      <c r="R50" s="251" t="str">
        <f t="shared" ca="1" si="0"/>
        <v>September 2029</v>
      </c>
      <c r="S50" s="252">
        <f t="shared" si="3"/>
        <v>8075413.6164422566</v>
      </c>
      <c r="T50" s="252"/>
      <c r="U50" s="254">
        <f t="shared" si="4"/>
        <v>1564661.4173145355</v>
      </c>
      <c r="V50" s="254">
        <f t="shared" si="5"/>
        <v>1598710.7591666684</v>
      </c>
      <c r="W50" s="252">
        <f t="shared" si="6"/>
        <v>4488000</v>
      </c>
      <c r="X50" s="252">
        <f t="shared" si="2"/>
        <v>0</v>
      </c>
      <c r="Y50" s="252">
        <f t="shared" si="1"/>
        <v>6750785.7929234616</v>
      </c>
      <c r="Z50" s="255"/>
      <c r="AA50" s="256"/>
      <c r="AB50" s="256"/>
      <c r="AC50" s="256"/>
    </row>
    <row r="51" spans="2:29" s="17" customFormat="1" ht="34" thickBot="1" x14ac:dyDescent="0.4">
      <c r="K51" s="206"/>
      <c r="L51" s="212" t="s">
        <v>169</v>
      </c>
      <c r="M51" s="223">
        <v>1000000</v>
      </c>
      <c r="N51" s="205"/>
      <c r="O51" s="18"/>
      <c r="P51" s="249">
        <v>45</v>
      </c>
      <c r="Q51" s="251">
        <f t="shared" ca="1" si="7"/>
        <v>47411</v>
      </c>
      <c r="R51" s="251" t="str">
        <f t="shared" ca="1" si="0"/>
        <v>October 2029</v>
      </c>
      <c r="S51" s="252">
        <f t="shared" si="3"/>
        <v>8122520.1958715031</v>
      </c>
      <c r="T51" s="252"/>
      <c r="U51" s="254">
        <f t="shared" si="4"/>
        <v>1582700.2624588232</v>
      </c>
      <c r="V51" s="254">
        <f t="shared" si="5"/>
        <v>1616866.8233333351</v>
      </c>
      <c r="W51" s="252">
        <f t="shared" si="6"/>
        <v>4488000</v>
      </c>
      <c r="X51" s="252">
        <f t="shared" si="2"/>
        <v>0</v>
      </c>
      <c r="Y51" s="252">
        <f t="shared" si="1"/>
        <v>6834087.28166366</v>
      </c>
      <c r="Z51" s="255"/>
      <c r="AA51" s="256"/>
      <c r="AB51" s="256"/>
      <c r="AC51" s="256"/>
    </row>
    <row r="52" spans="2:29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7"/>
        <v>47441</v>
      </c>
      <c r="R52" s="251" t="str">
        <f t="shared" ca="1" si="0"/>
        <v>November 2029</v>
      </c>
      <c r="S52" s="252">
        <f t="shared" si="3"/>
        <v>8169901.563680754</v>
      </c>
      <c r="T52" s="252">
        <f>$V$4</f>
        <v>1000000</v>
      </c>
      <c r="U52" s="254">
        <f t="shared" si="4"/>
        <v>1600889.4313126467</v>
      </c>
      <c r="V52" s="254">
        <f t="shared" si="5"/>
        <v>1635022.8875000018</v>
      </c>
      <c r="W52" s="252">
        <f t="shared" si="6"/>
        <v>4488000</v>
      </c>
      <c r="X52" s="252">
        <f t="shared" si="2"/>
        <v>1000000</v>
      </c>
      <c r="Y52" s="252">
        <f t="shared" si="1"/>
        <v>7917813.8824934009</v>
      </c>
      <c r="Z52" s="255"/>
      <c r="AA52" s="256"/>
      <c r="AB52" s="256"/>
      <c r="AC52" s="256"/>
    </row>
    <row r="53" spans="2:29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49">
        <v>47</v>
      </c>
      <c r="Q53" s="251">
        <f t="shared" ca="1" si="7"/>
        <v>47471</v>
      </c>
      <c r="R53" s="251" t="str">
        <f t="shared" ca="1" si="0"/>
        <v>December 2029</v>
      </c>
      <c r="S53" s="252">
        <f t="shared" si="3"/>
        <v>9217559.3228022251</v>
      </c>
      <c r="T53" s="252"/>
      <c r="U53" s="254">
        <f t="shared" si="4"/>
        <v>1619230.1765735855</v>
      </c>
      <c r="V53" s="254">
        <f t="shared" si="5"/>
        <v>1653178.9516666685</v>
      </c>
      <c r="W53" s="252">
        <f t="shared" si="6"/>
        <v>5488000</v>
      </c>
      <c r="X53" s="252">
        <f t="shared" si="2"/>
        <v>0</v>
      </c>
      <c r="Y53" s="252">
        <f t="shared" si="1"/>
        <v>7001968.4510424789</v>
      </c>
      <c r="Z53" s="255"/>
      <c r="AA53" s="256"/>
      <c r="AB53" s="256"/>
      <c r="AC53" s="256"/>
    </row>
    <row r="54" spans="2:29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7"/>
        <v>47501</v>
      </c>
      <c r="R54" s="251" t="str">
        <f t="shared" ca="1" si="0"/>
        <v>January 2030</v>
      </c>
      <c r="S54" s="252">
        <f t="shared" si="3"/>
        <v>9271328.4188519046</v>
      </c>
      <c r="T54" s="252"/>
      <c r="U54" s="254">
        <f t="shared" si="4"/>
        <v>1637723.7613783653</v>
      </c>
      <c r="V54" s="254">
        <f t="shared" si="5"/>
        <v>1671335.0158333352</v>
      </c>
      <c r="W54" s="252">
        <f t="shared" si="6"/>
        <v>5488000</v>
      </c>
      <c r="X54" s="252">
        <f t="shared" si="2"/>
        <v>0</v>
      </c>
      <c r="Y54" s="252">
        <f t="shared" si="1"/>
        <v>7092387.1960636042</v>
      </c>
      <c r="Z54" s="255"/>
      <c r="AA54" s="256"/>
      <c r="AB54" s="256"/>
      <c r="AC54" s="256"/>
    </row>
    <row r="55" spans="2:29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7"/>
        <v>47531</v>
      </c>
      <c r="R55" s="251" t="str">
        <f t="shared" ca="1" si="0"/>
        <v>February 2030</v>
      </c>
      <c r="S55" s="252">
        <f t="shared" si="3"/>
        <v>9325411.167961875</v>
      </c>
      <c r="T55" s="252"/>
      <c r="U55" s="254">
        <f t="shared" si="4"/>
        <v>1656371.4593898517</v>
      </c>
      <c r="V55" s="254">
        <f t="shared" si="5"/>
        <v>1689491.0800000019</v>
      </c>
      <c r="W55" s="252">
        <f t="shared" si="6"/>
        <v>5488000</v>
      </c>
      <c r="X55" s="252">
        <f t="shared" si="2"/>
        <v>0</v>
      </c>
      <c r="Y55" s="252">
        <f t="shared" si="1"/>
        <v>7183273.7073517293</v>
      </c>
      <c r="Z55" s="255"/>
      <c r="AA55" s="256"/>
      <c r="AB55" s="256"/>
      <c r="AC55" s="256"/>
    </row>
    <row r="56" spans="2:29" s="17" customFormat="1" ht="46" thickBot="1" x14ac:dyDescent="0.5">
      <c r="B56" s="197" t="s">
        <v>160</v>
      </c>
      <c r="C56" s="198"/>
      <c r="D56" s="199">
        <f>E50-I50</f>
        <v>3895000</v>
      </c>
      <c r="E56" s="200"/>
      <c r="F56" s="201"/>
      <c r="G56" s="202" t="s">
        <v>158</v>
      </c>
      <c r="H56" s="203" t="s">
        <v>114</v>
      </c>
      <c r="I56" s="204">
        <f>I17-I28</f>
        <v>18156.064166666667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7"/>
        <v>47561</v>
      </c>
      <c r="R56" s="251" t="str">
        <f t="shared" ca="1" si="0"/>
        <v>March 2030</v>
      </c>
      <c r="S56" s="252">
        <f t="shared" si="3"/>
        <v>9379809.3997749854</v>
      </c>
      <c r="T56" s="252"/>
      <c r="U56" s="254">
        <f t="shared" si="4"/>
        <v>1675174.5548847669</v>
      </c>
      <c r="V56" s="254">
        <f t="shared" si="5"/>
        <v>1707647.1441666686</v>
      </c>
      <c r="W56" s="252">
        <f t="shared" si="6"/>
        <v>5488000</v>
      </c>
      <c r="X56" s="252">
        <f t="shared" si="2"/>
        <v>0</v>
      </c>
      <c r="Y56" s="252">
        <f t="shared" si="1"/>
        <v>7274631.0988264214</v>
      </c>
      <c r="Z56" s="255"/>
      <c r="AA56" s="256"/>
      <c r="AB56" s="256"/>
      <c r="AC56" s="256"/>
    </row>
    <row r="57" spans="2:29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7"/>
        <v>47591</v>
      </c>
      <c r="R57" s="251" t="str">
        <f t="shared" ca="1" si="0"/>
        <v>April 2030</v>
      </c>
      <c r="S57" s="252">
        <f t="shared" si="3"/>
        <v>9434524.9546070062</v>
      </c>
      <c r="T57" s="252"/>
      <c r="U57" s="254">
        <f t="shared" si="4"/>
        <v>1694134.34284214</v>
      </c>
      <c r="V57" s="254">
        <f t="shared" si="5"/>
        <v>1725803.2083333354</v>
      </c>
      <c r="W57" s="252">
        <f t="shared" si="6"/>
        <v>5488000</v>
      </c>
      <c r="X57" s="252">
        <f t="shared" si="2"/>
        <v>0</v>
      </c>
      <c r="Y57" s="252">
        <f t="shared" si="1"/>
        <v>7366462.5057824813</v>
      </c>
      <c r="Z57" s="255"/>
      <c r="AA57" s="255"/>
      <c r="AB57" s="255"/>
      <c r="AC57" s="255"/>
    </row>
    <row r="58" spans="2:29" ht="33" x14ac:dyDescent="0.35">
      <c r="B58" s="135" t="s">
        <v>159</v>
      </c>
      <c r="C58" s="130"/>
      <c r="D58" s="101">
        <f>E49-I50</f>
        <v>4315000</v>
      </c>
      <c r="E58" s="130"/>
      <c r="G58" s="115" t="s">
        <v>113</v>
      </c>
      <c r="H58" s="115" t="s">
        <v>115</v>
      </c>
      <c r="I58" s="189">
        <f>I56*12</f>
        <v>217872.77000000002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7"/>
        <v>47621</v>
      </c>
      <c r="R58" s="251" t="str">
        <f t="shared" ca="1" si="0"/>
        <v>May 2030</v>
      </c>
      <c r="S58" s="252">
        <f t="shared" si="3"/>
        <v>9489559.6835088804</v>
      </c>
      <c r="T58" s="252"/>
      <c r="U58" s="254">
        <f t="shared" si="4"/>
        <v>1713252.129032491</v>
      </c>
      <c r="V58" s="254">
        <f t="shared" si="5"/>
        <v>1743959.2725000021</v>
      </c>
      <c r="W58" s="252">
        <f t="shared" si="6"/>
        <v>5488000</v>
      </c>
      <c r="X58" s="252">
        <f t="shared" si="2"/>
        <v>0</v>
      </c>
      <c r="Y58" s="252">
        <f t="shared" si="1"/>
        <v>7458771.085041374</v>
      </c>
      <c r="Z58" s="255"/>
      <c r="AA58" s="255"/>
      <c r="AB58" s="255"/>
      <c r="AC58" s="255"/>
    </row>
    <row r="59" spans="2:29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7"/>
        <v>47651</v>
      </c>
      <c r="R59" s="251" t="str">
        <f t="shared" ca="1" si="0"/>
        <v>June 2030</v>
      </c>
      <c r="S59" s="252">
        <f t="shared" si="3"/>
        <v>9544915.44832935</v>
      </c>
      <c r="T59" s="252"/>
      <c r="U59" s="254">
        <f t="shared" si="4"/>
        <v>1732529.2301077617</v>
      </c>
      <c r="V59" s="254">
        <f t="shared" si="5"/>
        <v>1762115.3366666688</v>
      </c>
      <c r="W59" s="252">
        <f t="shared" si="6"/>
        <v>5488000</v>
      </c>
      <c r="X59" s="252">
        <f t="shared" si="2"/>
        <v>0</v>
      </c>
      <c r="Y59" s="252">
        <f t="shared" si="1"/>
        <v>7551560.0151037797</v>
      </c>
      <c r="Z59" s="255"/>
      <c r="AA59" s="256"/>
      <c r="AB59" s="256"/>
      <c r="AC59" s="256"/>
    </row>
    <row r="60" spans="2:29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7"/>
        <v>47681</v>
      </c>
      <c r="R60" s="251" t="str">
        <f t="shared" ca="1" si="0"/>
        <v>July 2030</v>
      </c>
      <c r="S60" s="252">
        <f t="shared" si="3"/>
        <v>9600594.1217779387</v>
      </c>
      <c r="T60" s="252"/>
      <c r="U60" s="254">
        <f t="shared" si="4"/>
        <v>1751966.9736919929</v>
      </c>
      <c r="V60" s="254">
        <f t="shared" si="5"/>
        <v>1780271.4008333355</v>
      </c>
      <c r="W60" s="252">
        <f t="shared" si="6"/>
        <v>5488000</v>
      </c>
      <c r="X60" s="252">
        <f t="shared" si="2"/>
        <v>0</v>
      </c>
      <c r="Y60" s="252">
        <f t="shared" si="1"/>
        <v>7644832.4963032659</v>
      </c>
      <c r="Z60" s="255"/>
      <c r="AA60" s="256"/>
      <c r="AB60" s="256"/>
      <c r="AC60" s="256"/>
    </row>
    <row r="61" spans="2:29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7"/>
        <v>47711</v>
      </c>
      <c r="R61" s="251" t="str">
        <f t="shared" ca="1" si="0"/>
        <v>August 2030</v>
      </c>
      <c r="S61" s="252">
        <f t="shared" si="3"/>
        <v>9656597.5874883104</v>
      </c>
      <c r="T61" s="252"/>
      <c r="U61" s="254">
        <f t="shared" si="4"/>
        <v>1771566.6984727595</v>
      </c>
      <c r="V61" s="254">
        <f t="shared" si="5"/>
        <v>1798427.4650000022</v>
      </c>
      <c r="W61" s="252">
        <f t="shared" si="6"/>
        <v>5488000</v>
      </c>
      <c r="X61" s="252">
        <f t="shared" si="2"/>
        <v>0</v>
      </c>
      <c r="Y61" s="252">
        <f t="shared" si="1"/>
        <v>7738591.7509610709</v>
      </c>
      <c r="Z61" s="255"/>
      <c r="AA61" s="256"/>
      <c r="AB61" s="256"/>
      <c r="AC61" s="256"/>
    </row>
    <row r="62" spans="2:29" s="17" customFormat="1" ht="45" x14ac:dyDescent="0.35">
      <c r="B62" s="234" t="s">
        <v>105</v>
      </c>
      <c r="C62" s="118"/>
      <c r="D62" s="106">
        <f>SUM(I44:I47)</f>
        <v>1486000</v>
      </c>
      <c r="E62" s="118"/>
      <c r="F62" s="22"/>
      <c r="G62" s="195" t="s">
        <v>1</v>
      </c>
      <c r="H62" s="195" t="s">
        <v>114</v>
      </c>
      <c r="I62" s="196">
        <f>H5</f>
        <v>2494</v>
      </c>
      <c r="J62" s="18"/>
      <c r="K62" s="205"/>
      <c r="L62" s="212" t="s">
        <v>85</v>
      </c>
      <c r="M62" s="223">
        <v>814000</v>
      </c>
      <c r="N62" s="205"/>
      <c r="O62" s="18"/>
      <c r="P62" s="249">
        <v>56</v>
      </c>
      <c r="Q62" s="251">
        <f t="shared" ca="1" si="7"/>
        <v>47741</v>
      </c>
      <c r="R62" s="251" t="str">
        <f t="shared" ca="1" si="0"/>
        <v>September 2030</v>
      </c>
      <c r="S62" s="252">
        <f t="shared" si="3"/>
        <v>9712927.740081992</v>
      </c>
      <c r="T62" s="252"/>
      <c r="U62" s="254">
        <f t="shared" si="4"/>
        <v>1791329.7542933656</v>
      </c>
      <c r="V62" s="254">
        <f t="shared" si="5"/>
        <v>1816583.5291666689</v>
      </c>
      <c r="W62" s="252">
        <f t="shared" si="6"/>
        <v>5488000</v>
      </c>
      <c r="X62" s="252">
        <f t="shared" si="2"/>
        <v>0</v>
      </c>
      <c r="Y62" s="252">
        <f t="shared" si="1"/>
        <v>7832841.0235420261</v>
      </c>
      <c r="Z62" s="255"/>
      <c r="AA62" s="256"/>
      <c r="AB62" s="256"/>
      <c r="AC62" s="256"/>
    </row>
    <row r="63" spans="2:29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7"/>
        <v>47771</v>
      </c>
      <c r="R63" s="251" t="str">
        <f t="shared" ca="1" si="0"/>
        <v>October 2030</v>
      </c>
      <c r="S63" s="252">
        <f t="shared" si="3"/>
        <v>9769586.4852324706</v>
      </c>
      <c r="T63" s="252"/>
      <c r="U63" s="254">
        <f t="shared" si="4"/>
        <v>1811257.5022458103</v>
      </c>
      <c r="V63" s="254">
        <f t="shared" si="5"/>
        <v>1834739.5933333356</v>
      </c>
      <c r="W63" s="252">
        <f t="shared" si="6"/>
        <v>5488000</v>
      </c>
      <c r="X63" s="252">
        <f t="shared" si="2"/>
        <v>0</v>
      </c>
      <c r="Y63" s="252">
        <f t="shared" si="1"/>
        <v>7927583.580811616</v>
      </c>
      <c r="Z63" s="255"/>
      <c r="AA63" s="256"/>
      <c r="AB63" s="256"/>
      <c r="AC63" s="256"/>
    </row>
    <row r="64" spans="2:29" s="17" customFormat="1" ht="33" x14ac:dyDescent="0.35">
      <c r="B64" s="234" t="s">
        <v>100</v>
      </c>
      <c r="C64" s="118"/>
      <c r="D64" s="106">
        <f>SUM(E44:E47)</f>
        <v>3650000</v>
      </c>
      <c r="E64" s="118"/>
      <c r="F64" s="22"/>
      <c r="G64" s="117" t="s">
        <v>126</v>
      </c>
      <c r="H64" s="117" t="s">
        <v>114</v>
      </c>
      <c r="I64" s="192">
        <f>I28-H5</f>
        <v>8259.935833333333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7"/>
        <v>47801</v>
      </c>
      <c r="R64" s="251" t="str">
        <f t="shared" ca="1" si="0"/>
        <v>November 2030</v>
      </c>
      <c r="S64" s="252">
        <f t="shared" si="3"/>
        <v>9826575.7397296596</v>
      </c>
      <c r="T64" s="252">
        <f>$V$4</f>
        <v>1000000</v>
      </c>
      <c r="U64" s="254">
        <f t="shared" si="4"/>
        <v>1831351.3147645253</v>
      </c>
      <c r="V64" s="254">
        <f t="shared" si="5"/>
        <v>1852895.6575000023</v>
      </c>
      <c r="W64" s="252">
        <f t="shared" si="6"/>
        <v>5488000</v>
      </c>
      <c r="X64" s="252">
        <f t="shared" si="2"/>
        <v>1000000</v>
      </c>
      <c r="Y64" s="252">
        <f t="shared" si="1"/>
        <v>9022822.7119941879</v>
      </c>
      <c r="Z64" s="255"/>
      <c r="AA64" s="256"/>
      <c r="AB64" s="256"/>
      <c r="AC64" s="256"/>
    </row>
    <row r="65" spans="2:29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160000</v>
      </c>
      <c r="N65" s="205"/>
      <c r="O65" s="18"/>
      <c r="P65" s="249">
        <v>59</v>
      </c>
      <c r="Q65" s="251">
        <f t="shared" ca="1" si="7"/>
        <v>47831</v>
      </c>
      <c r="R65" s="251" t="str">
        <f t="shared" ca="1" si="0"/>
        <v>December 2030</v>
      </c>
      <c r="S65" s="252">
        <f t="shared" si="3"/>
        <v>10883897.431544749</v>
      </c>
      <c r="T65" s="252"/>
      <c r="U65" s="254">
        <f t="shared" si="4"/>
        <v>1851612.5757208962</v>
      </c>
      <c r="V65" s="254">
        <f t="shared" si="5"/>
        <v>1871051.721666669</v>
      </c>
      <c r="W65" s="252">
        <f t="shared" si="6"/>
        <v>6488000</v>
      </c>
      <c r="X65" s="252">
        <f t="shared" si="2"/>
        <v>0</v>
      </c>
      <c r="Y65" s="252">
        <f t="shared" si="1"/>
        <v>8118561.7289323155</v>
      </c>
      <c r="Z65" s="255"/>
      <c r="AA65" s="256"/>
      <c r="AB65" s="256"/>
      <c r="AC65" s="256"/>
    </row>
    <row r="66" spans="2:29" ht="33" x14ac:dyDescent="0.35">
      <c r="B66" s="234" t="s">
        <v>101</v>
      </c>
      <c r="C66" s="118"/>
      <c r="D66" s="237">
        <f>SUM(D44:D47)</f>
        <v>2164000</v>
      </c>
      <c r="E66" s="118"/>
      <c r="G66" s="117" t="s">
        <v>125</v>
      </c>
      <c r="H66" s="117"/>
      <c r="I66" s="192">
        <f>I64*12/0.08</f>
        <v>1238990.375</v>
      </c>
      <c r="K66" s="205"/>
      <c r="L66" s="212" t="s">
        <v>123</v>
      </c>
      <c r="M66" s="223"/>
      <c r="N66" s="205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3"/>
        <v>10947386.833228759</v>
      </c>
      <c r="T66" s="252"/>
      <c r="U66" s="254">
        <f t="shared" si="4"/>
        <v>1872042.6805185704</v>
      </c>
      <c r="V66" s="254">
        <f t="shared" si="5"/>
        <v>1889207.7858333357</v>
      </c>
      <c r="W66" s="252">
        <f t="shared" si="6"/>
        <v>6488000</v>
      </c>
      <c r="X66" s="252">
        <f t="shared" si="2"/>
        <v>0</v>
      </c>
      <c r="Y66" s="252">
        <f t="shared" si="1"/>
        <v>8220637.2995806672</v>
      </c>
      <c r="Z66" s="255"/>
      <c r="AA66" s="255"/>
      <c r="AB66" s="255"/>
      <c r="AC66" s="255"/>
    </row>
    <row r="67" spans="2:29" ht="34" thickBot="1" x14ac:dyDescent="0.4">
      <c r="B67" s="238"/>
      <c r="C67" s="118"/>
      <c r="D67" s="237"/>
      <c r="E67" s="118"/>
      <c r="G67" s="113" t="s">
        <v>181</v>
      </c>
      <c r="H67" s="99"/>
      <c r="I67" s="262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2"/>
      <c r="X67" s="252"/>
      <c r="Y67" s="255"/>
      <c r="Z67" s="255"/>
      <c r="AA67" s="255"/>
      <c r="AB67" s="255"/>
      <c r="AC67" s="255"/>
    </row>
    <row r="68" spans="2:29" ht="25" x14ac:dyDescent="0.2">
      <c r="B68" s="234" t="s">
        <v>29</v>
      </c>
      <c r="C68" s="118"/>
      <c r="D68" s="239">
        <f>D62/D64</f>
        <v>0.4071232876712329</v>
      </c>
      <c r="E68" s="118"/>
      <c r="H68" s="99"/>
      <c r="I68" s="263"/>
      <c r="K68" s="205"/>
      <c r="L68" s="206"/>
      <c r="M68" s="205"/>
      <c r="N68" s="205"/>
    </row>
    <row r="69" spans="2:29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9" ht="33" x14ac:dyDescent="0.35">
      <c r="B70" s="234" t="s">
        <v>121</v>
      </c>
      <c r="C70" s="118"/>
      <c r="D70" s="237">
        <f>(80%-D68)*D64</f>
        <v>1434000</v>
      </c>
      <c r="E70" s="118"/>
      <c r="G70" s="114"/>
      <c r="H70" s="99"/>
      <c r="I70" s="147"/>
      <c r="L70" s="119"/>
      <c r="M70" s="120"/>
    </row>
    <row r="71" spans="2:29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818000</v>
      </c>
      <c r="L71" s="247">
        <f>D56</f>
        <v>3895000</v>
      </c>
      <c r="M71" s="120"/>
    </row>
    <row r="72" spans="2:29" ht="29" customHeight="1" x14ac:dyDescent="0.35">
      <c r="B72" s="137"/>
      <c r="E72" s="99"/>
      <c r="G72" s="232" t="s">
        <v>163</v>
      </c>
      <c r="H72" s="232"/>
      <c r="I72" s="233">
        <f>SUM(E37:E39)</f>
        <v>915000</v>
      </c>
      <c r="L72" s="246">
        <f>L71*M72</f>
        <v>1558000</v>
      </c>
      <c r="M72" s="248">
        <v>0.4</v>
      </c>
    </row>
    <row r="73" spans="2:29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1733000</v>
      </c>
      <c r="L73" s="246">
        <f>L72+M73</f>
        <v>2108000</v>
      </c>
      <c r="M73" s="119">
        <v>550000</v>
      </c>
    </row>
    <row r="74" spans="2:29" ht="29" customHeight="1" x14ac:dyDescent="0.35">
      <c r="B74" s="125"/>
      <c r="E74" s="99"/>
      <c r="H74" s="99"/>
      <c r="I74" s="147"/>
      <c r="L74" s="246">
        <f>L73+M74</f>
        <v>2908000</v>
      </c>
      <c r="M74" s="119">
        <v>800000</v>
      </c>
      <c r="N74" s="119"/>
    </row>
    <row r="75" spans="2:29" ht="29" customHeight="1" x14ac:dyDescent="0.35">
      <c r="B75" s="138" t="s">
        <v>128</v>
      </c>
      <c r="C75" s="131"/>
      <c r="D75" s="102">
        <f>D78-D62</f>
        <v>988371.86435377225</v>
      </c>
      <c r="E75" s="131"/>
      <c r="G75" s="114" t="s">
        <v>127</v>
      </c>
      <c r="H75" s="99"/>
      <c r="I75" s="147"/>
      <c r="L75" s="119"/>
      <c r="M75" s="119"/>
      <c r="N75" s="119"/>
    </row>
    <row r="76" spans="2:29" ht="29" customHeight="1" x14ac:dyDescent="0.35">
      <c r="B76" s="137" t="s">
        <v>112</v>
      </c>
      <c r="E76" s="99"/>
      <c r="G76" s="22"/>
      <c r="H76" s="99"/>
      <c r="I76" s="147"/>
      <c r="L76" s="247">
        <f>D56</f>
        <v>3895000</v>
      </c>
      <c r="M76" s="120"/>
      <c r="N76" s="119"/>
    </row>
    <row r="77" spans="2:29" ht="29" customHeight="1" x14ac:dyDescent="0.35">
      <c r="B77" s="137"/>
      <c r="E77" s="113"/>
      <c r="G77" s="601" t="s">
        <v>165</v>
      </c>
      <c r="H77" s="602"/>
      <c r="I77" s="194">
        <f>SUM(E34:E39)/(I28-H5)</f>
        <v>209.80792526334196</v>
      </c>
      <c r="L77" s="246">
        <f>L76*M77</f>
        <v>2337000</v>
      </c>
      <c r="M77" s="248">
        <v>0.6</v>
      </c>
      <c r="N77" s="119"/>
    </row>
    <row r="78" spans="2:29" ht="29" customHeight="1" x14ac:dyDescent="0.35">
      <c r="B78" s="138" t="s">
        <v>117</v>
      </c>
      <c r="C78" s="131"/>
      <c r="D78" s="102">
        <f>PV(8%/12,30*12,H22,0)*-1</f>
        <v>2474371.8643537723</v>
      </c>
      <c r="E78" s="131"/>
      <c r="G78" s="601" t="s">
        <v>166</v>
      </c>
      <c r="H78" s="602"/>
      <c r="I78" s="194">
        <f>SUM(E34:E39)/(I28-H5)/12</f>
        <v>17.483993771945162</v>
      </c>
      <c r="L78" s="246">
        <f>L77+M78</f>
        <v>3137000</v>
      </c>
      <c r="M78" s="119">
        <v>800000</v>
      </c>
    </row>
    <row r="79" spans="2:29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2.1980877978975424</v>
      </c>
      <c r="L79" s="246"/>
      <c r="M79" s="119"/>
    </row>
    <row r="80" spans="2:29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2:8" ht="29" customHeight="1" x14ac:dyDescent="0.2">
      <c r="D81" s="99"/>
      <c r="E81" s="22"/>
    </row>
    <row r="82" spans="2:8" ht="43" customHeight="1" x14ac:dyDescent="0.2">
      <c r="D82" s="99"/>
      <c r="E82" s="98"/>
      <c r="F82" s="99"/>
      <c r="G82" s="99"/>
      <c r="H82" s="99"/>
    </row>
    <row r="83" spans="2:8" x14ac:dyDescent="0.2">
      <c r="D83" s="99"/>
      <c r="E83" s="98"/>
      <c r="F83" s="99"/>
      <c r="G83" s="99"/>
      <c r="H83" s="99"/>
    </row>
    <row r="84" spans="2:8" x14ac:dyDescent="0.2">
      <c r="D84" s="99"/>
      <c r="E84" s="98"/>
      <c r="F84" s="99"/>
      <c r="G84" s="99"/>
      <c r="H84" s="99"/>
    </row>
    <row r="85" spans="2:8" ht="40" customHeight="1" x14ac:dyDescent="0.35">
      <c r="B85" s="268" t="s">
        <v>187</v>
      </c>
      <c r="C85" s="265">
        <f>PMT(C88/12, 30*12, -C89)</f>
        <v>5677.8900134700289</v>
      </c>
      <c r="D85" s="99"/>
      <c r="E85" s="98"/>
      <c r="F85" s="99"/>
      <c r="G85" s="99"/>
      <c r="H85" s="99"/>
    </row>
    <row r="86" spans="2:8" x14ac:dyDescent="0.2">
      <c r="B86" s="269"/>
      <c r="F86" s="99"/>
      <c r="G86" s="99"/>
      <c r="H86" s="99"/>
    </row>
    <row r="87" spans="2:8" ht="40" customHeight="1" x14ac:dyDescent="0.35">
      <c r="B87" s="268" t="s">
        <v>188</v>
      </c>
      <c r="C87" s="265">
        <f>C85*12</f>
        <v>68134.680161640339</v>
      </c>
      <c r="D87" s="99"/>
      <c r="F87" s="99"/>
      <c r="G87" s="99"/>
      <c r="H87" s="99"/>
    </row>
    <row r="88" spans="2:8" ht="41" customHeight="1" x14ac:dyDescent="0.35">
      <c r="B88" s="268" t="s">
        <v>185</v>
      </c>
      <c r="C88" s="266">
        <v>5.5E-2</v>
      </c>
      <c r="D88" s="99"/>
      <c r="F88" s="99"/>
      <c r="G88" s="99"/>
      <c r="H88" s="99"/>
    </row>
    <row r="89" spans="2:8" ht="35" x14ac:dyDescent="0.35">
      <c r="B89" s="268" t="s">
        <v>186</v>
      </c>
      <c r="C89" s="267">
        <v>1000000</v>
      </c>
      <c r="D89" s="99"/>
      <c r="F89" s="99"/>
      <c r="G89" s="99"/>
      <c r="H89" s="99"/>
    </row>
    <row r="90" spans="2:8" ht="35" x14ac:dyDescent="0.35">
      <c r="B90" s="265"/>
      <c r="C90" s="265"/>
      <c r="D90" s="99"/>
      <c r="F90" s="99"/>
      <c r="G90" s="99"/>
      <c r="H90" s="99"/>
    </row>
    <row r="91" spans="2:8" ht="35" x14ac:dyDescent="0.35">
      <c r="B91" s="265"/>
      <c r="C91" s="265"/>
      <c r="D91" s="99"/>
    </row>
    <row r="92" spans="2:8" ht="35" x14ac:dyDescent="0.35">
      <c r="B92" s="265"/>
      <c r="C92" s="265"/>
      <c r="D92" s="99"/>
    </row>
    <row r="93" spans="2:8" ht="35" x14ac:dyDescent="0.35">
      <c r="B93" s="265"/>
      <c r="C93" s="265"/>
      <c r="E93" s="22"/>
    </row>
    <row r="94" spans="2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559B-7809-9845-A19B-A5CE1E4D12B2}">
  <dimension ref="B1:AG94"/>
  <sheetViews>
    <sheetView showGridLines="0" zoomScale="60" zoomScaleNormal="60" workbookViewId="0">
      <selection activeCell="K25" sqref="K25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3.1640625" style="18" bestFit="1" customWidth="1"/>
    <col min="18" max="18" width="33.5" style="18" bestFit="1" customWidth="1"/>
    <col min="19" max="19" width="27" style="18" customWidth="1"/>
    <col min="20" max="20" width="67.5" style="18" bestFit="1" customWidth="1"/>
    <col min="21" max="22" width="27" style="18" bestFit="1" customWidth="1"/>
    <col min="23" max="23" width="35" style="18" bestFit="1" customWidth="1"/>
    <col min="24" max="16384" width="11" style="18"/>
  </cols>
  <sheetData>
    <row r="1" spans="2:33" ht="32" thickBot="1" x14ac:dyDescent="0.35">
      <c r="K1" s="205"/>
      <c r="L1" s="206"/>
      <c r="M1" s="205"/>
      <c r="N1" s="205"/>
      <c r="Q1" s="251"/>
      <c r="R1" s="29"/>
      <c r="S1" s="252"/>
      <c r="T1" s="258" t="s">
        <v>180</v>
      </c>
      <c r="U1" s="259">
        <v>0.1</v>
      </c>
      <c r="V1" s="252"/>
      <c r="W1" s="255"/>
      <c r="X1" s="255"/>
      <c r="Y1" s="255"/>
      <c r="Z1" s="255"/>
      <c r="AA1" s="255"/>
    </row>
    <row r="2" spans="2:33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8" t="s">
        <v>179</v>
      </c>
      <c r="U2" s="259">
        <v>0.1</v>
      </c>
      <c r="W2" s="255"/>
      <c r="X2" s="255"/>
      <c r="Y2" s="255"/>
      <c r="Z2" s="255"/>
      <c r="AA2" s="255"/>
    </row>
    <row r="3" spans="2:33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8" t="s">
        <v>175</v>
      </c>
      <c r="U3" s="260">
        <v>5000</v>
      </c>
      <c r="V3" s="252"/>
      <c r="W3" s="255"/>
      <c r="X3" s="255"/>
      <c r="Y3" s="255"/>
      <c r="Z3" s="255"/>
      <c r="AA3" s="255"/>
      <c r="AG3" s="257" t="s">
        <v>176</v>
      </c>
    </row>
    <row r="4" spans="2:33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52"/>
      <c r="V4" s="252"/>
      <c r="W4" s="255"/>
      <c r="X4" s="255"/>
      <c r="Y4" s="255"/>
      <c r="Z4" s="255"/>
      <c r="AA4" s="255"/>
    </row>
    <row r="5" spans="2:33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2596.6666666666665</v>
      </c>
      <c r="I5" s="143">
        <f>H5*12</f>
        <v>31160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5"/>
      <c r="X5" s="255"/>
      <c r="Y5" s="255"/>
      <c r="Z5" s="255"/>
      <c r="AA5" s="255"/>
    </row>
    <row r="6" spans="2:33" ht="33" x14ac:dyDescent="0.35">
      <c r="B6" s="97" t="s">
        <v>40</v>
      </c>
      <c r="C6" s="164">
        <f>D6*12</f>
        <v>240000</v>
      </c>
      <c r="D6" s="165">
        <f>M6</f>
        <v>20000</v>
      </c>
      <c r="E6" s="166"/>
      <c r="F6" s="61"/>
      <c r="G6" s="39"/>
      <c r="H6" s="55"/>
      <c r="I6" s="56"/>
      <c r="K6" s="205"/>
      <c r="L6" s="212" t="s">
        <v>70</v>
      </c>
      <c r="M6" s="223">
        <v>20000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124</v>
      </c>
      <c r="U6" s="250" t="s">
        <v>178</v>
      </c>
      <c r="V6" s="250" t="s">
        <v>174</v>
      </c>
      <c r="W6" s="250" t="s">
        <v>177</v>
      </c>
      <c r="X6" s="255"/>
      <c r="Y6" s="255"/>
      <c r="Z6" s="255"/>
      <c r="AA6" s="255"/>
    </row>
    <row r="7" spans="2:33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66" ca="1" si="0">TEXT($Q7,"MMMM")&amp;TEXT($Q7," YYYY")</f>
        <v>March 2026</v>
      </c>
      <c r="S7" s="252">
        <f>SUM(E44:E46)</f>
        <v>4100000</v>
      </c>
      <c r="T7" s="252">
        <f>SUM(E37:E39)</f>
        <v>788000</v>
      </c>
      <c r="U7" s="252">
        <f>$E$34</f>
        <v>10000</v>
      </c>
      <c r="V7" s="252">
        <f>$I$50</f>
        <v>1734000</v>
      </c>
      <c r="W7" s="252">
        <f t="shared" ref="W7:W66" si="1">SUM(S7:U7)-V7</f>
        <v>3164000</v>
      </c>
      <c r="X7" s="255"/>
      <c r="Y7" s="255"/>
      <c r="Z7" s="255"/>
      <c r="AA7" s="255"/>
    </row>
    <row r="8" spans="2:33" ht="33" x14ac:dyDescent="0.35">
      <c r="B8" s="97" t="s">
        <v>42</v>
      </c>
      <c r="C8" s="167"/>
      <c r="D8" s="165">
        <f>M8</f>
        <v>150</v>
      </c>
      <c r="E8" s="169">
        <f>D8</f>
        <v>150</v>
      </c>
      <c r="F8" s="54"/>
      <c r="G8" s="97"/>
      <c r="H8" s="44"/>
      <c r="I8" s="47"/>
      <c r="K8" s="205"/>
      <c r="L8" s="212" t="s">
        <v>72</v>
      </c>
      <c r="M8" s="223">
        <v>150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 t="shared" ref="S8:S66" si="2">($U$1/12+1)*S7</f>
        <v>4134166.6666666665</v>
      </c>
      <c r="T8" s="254">
        <f>($U$2/12+1)*T7+$U$3</f>
        <v>799566.66666666663</v>
      </c>
      <c r="U8" s="254">
        <f>U7+$I$56</f>
        <v>22258.730833333335</v>
      </c>
      <c r="V8" s="252">
        <f t="shared" ref="V8:V66" si="3">$I$50</f>
        <v>1734000</v>
      </c>
      <c r="W8" s="252">
        <f t="shared" si="1"/>
        <v>3221992.064166666</v>
      </c>
      <c r="X8" s="255"/>
      <c r="Y8" s="255"/>
      <c r="Z8" s="255"/>
      <c r="AA8" s="255"/>
    </row>
    <row r="9" spans="2:33" ht="33" x14ac:dyDescent="0.35">
      <c r="B9" s="97" t="s">
        <v>43</v>
      </c>
      <c r="C9" s="167"/>
      <c r="D9" s="165">
        <f>M9</f>
        <v>800</v>
      </c>
      <c r="E9" s="169">
        <f>D9</f>
        <v>800</v>
      </c>
      <c r="F9" s="54"/>
      <c r="G9" s="97"/>
      <c r="H9" s="44"/>
      <c r="I9" s="47"/>
      <c r="K9" s="205"/>
      <c r="L9" s="212" t="s">
        <v>73</v>
      </c>
      <c r="M9" s="223">
        <v>800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si="2"/>
        <v>4168618.0555555555</v>
      </c>
      <c r="T9" s="254">
        <f t="shared" ref="T9:T66" si="4">($U$2/12+1)*T8+$U$3</f>
        <v>811229.72222222213</v>
      </c>
      <c r="U9" s="254">
        <f t="shared" ref="U9:U66" si="5">U8+$I$56</f>
        <v>34517.46166666667</v>
      </c>
      <c r="V9" s="252">
        <f t="shared" si="3"/>
        <v>1734000</v>
      </c>
      <c r="W9" s="252">
        <f t="shared" si="1"/>
        <v>3280365.2394444449</v>
      </c>
      <c r="X9" s="255"/>
      <c r="Y9" s="255"/>
      <c r="Z9" s="255"/>
      <c r="AA9" s="255"/>
    </row>
    <row r="10" spans="2:33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6">Q9+30</f>
        <v>46181</v>
      </c>
      <c r="R10" s="251" t="str">
        <f t="shared" ca="1" si="0"/>
        <v>June 2026</v>
      </c>
      <c r="S10" s="252">
        <f t="shared" si="2"/>
        <v>4203356.5393518517</v>
      </c>
      <c r="T10" s="254">
        <f t="shared" si="4"/>
        <v>822989.9699074073</v>
      </c>
      <c r="U10" s="254">
        <f t="shared" si="5"/>
        <v>46776.192500000005</v>
      </c>
      <c r="V10" s="252">
        <f t="shared" si="3"/>
        <v>1734000</v>
      </c>
      <c r="W10" s="252">
        <f t="shared" si="1"/>
        <v>3339122.7017592592</v>
      </c>
      <c r="X10" s="255"/>
      <c r="Y10" s="255"/>
      <c r="Z10" s="255"/>
      <c r="AA10" s="255"/>
    </row>
    <row r="11" spans="2:33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6"/>
        <v>46211</v>
      </c>
      <c r="R11" s="251" t="str">
        <f t="shared" ca="1" si="0"/>
        <v>July 2026</v>
      </c>
      <c r="S11" s="252">
        <f t="shared" si="2"/>
        <v>4238384.5105131166</v>
      </c>
      <c r="T11" s="254">
        <f t="shared" si="4"/>
        <v>834848.21965663566</v>
      </c>
      <c r="U11" s="254">
        <f t="shared" si="5"/>
        <v>59034.92333333334</v>
      </c>
      <c r="V11" s="252">
        <f t="shared" si="3"/>
        <v>1734000</v>
      </c>
      <c r="W11" s="252">
        <f t="shared" si="1"/>
        <v>3398267.6535030864</v>
      </c>
      <c r="X11" s="255"/>
      <c r="Y11" s="255"/>
      <c r="Z11" s="255"/>
      <c r="AA11" s="255"/>
    </row>
    <row r="12" spans="2:33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6"/>
        <v>46241</v>
      </c>
      <c r="R12" s="251" t="str">
        <f t="shared" ca="1" si="0"/>
        <v>August 2026</v>
      </c>
      <c r="S12" s="252">
        <f t="shared" si="2"/>
        <v>4273704.3814340588</v>
      </c>
      <c r="T12" s="254">
        <f t="shared" si="4"/>
        <v>846805.28815377422</v>
      </c>
      <c r="U12" s="254">
        <f t="shared" si="5"/>
        <v>71293.654166666674</v>
      </c>
      <c r="V12" s="252">
        <f t="shared" si="3"/>
        <v>1734000</v>
      </c>
      <c r="W12" s="252">
        <f t="shared" si="1"/>
        <v>3457803.3237544997</v>
      </c>
      <c r="X12" s="255"/>
      <c r="Y12" s="255"/>
      <c r="Z12" s="255"/>
      <c r="AA12" s="255"/>
    </row>
    <row r="13" spans="2:33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6"/>
        <v>46271</v>
      </c>
      <c r="R13" s="251" t="str">
        <f t="shared" ca="1" si="0"/>
        <v>September 2026</v>
      </c>
      <c r="S13" s="252">
        <f t="shared" si="2"/>
        <v>4309318.5846126759</v>
      </c>
      <c r="T13" s="254">
        <f t="shared" si="4"/>
        <v>858861.99888838897</v>
      </c>
      <c r="U13" s="254">
        <f t="shared" si="5"/>
        <v>83552.385000000009</v>
      </c>
      <c r="V13" s="252">
        <f t="shared" si="3"/>
        <v>1734000</v>
      </c>
      <c r="W13" s="252">
        <f t="shared" si="1"/>
        <v>3517732.9685010649</v>
      </c>
      <c r="X13" s="255"/>
      <c r="Y13" s="255"/>
      <c r="Z13" s="255"/>
      <c r="AA13" s="255"/>
    </row>
    <row r="14" spans="2:33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-86.66666666666697</v>
      </c>
      <c r="F14" s="41"/>
      <c r="G14" s="97" t="s">
        <v>68</v>
      </c>
      <c r="H14" s="145">
        <f>C14/E45</f>
        <v>3.3936842105263161E-2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6"/>
        <v>46301</v>
      </c>
      <c r="R14" s="251" t="str">
        <f t="shared" ca="1" si="0"/>
        <v>October 2026</v>
      </c>
      <c r="S14" s="252">
        <f t="shared" si="2"/>
        <v>4345229.572817781</v>
      </c>
      <c r="T14" s="254">
        <f t="shared" si="4"/>
        <v>871019.18221245881</v>
      </c>
      <c r="U14" s="254">
        <f t="shared" si="5"/>
        <v>95811.115833333344</v>
      </c>
      <c r="V14" s="252">
        <f t="shared" si="3"/>
        <v>1734000</v>
      </c>
      <c r="W14" s="252">
        <f t="shared" si="1"/>
        <v>3578059.8708635736</v>
      </c>
      <c r="X14" s="255"/>
      <c r="Y14" s="255"/>
      <c r="Z14" s="255"/>
      <c r="AA14" s="255"/>
    </row>
    <row r="15" spans="2:33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1733.3333333333335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6"/>
        <v>46331</v>
      </c>
      <c r="R15" s="251" t="str">
        <f t="shared" ca="1" si="0"/>
        <v>November 2026</v>
      </c>
      <c r="S15" s="252">
        <f t="shared" si="2"/>
        <v>4381439.819257929</v>
      </c>
      <c r="T15" s="254">
        <f t="shared" si="4"/>
        <v>883277.67539756256</v>
      </c>
      <c r="U15" s="254">
        <f t="shared" si="5"/>
        <v>108069.84666666668</v>
      </c>
      <c r="V15" s="252">
        <f t="shared" si="3"/>
        <v>1734000</v>
      </c>
      <c r="W15" s="252">
        <f t="shared" si="1"/>
        <v>3638787.3413221585</v>
      </c>
      <c r="X15" s="255"/>
      <c r="Y15" s="255"/>
      <c r="Z15" s="255"/>
      <c r="AA15" s="255"/>
    </row>
    <row r="16" spans="2:33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6"/>
        <v>46361</v>
      </c>
      <c r="R16" s="251" t="str">
        <f t="shared" ca="1" si="0"/>
        <v>December 2026</v>
      </c>
      <c r="S16" s="252">
        <f t="shared" si="2"/>
        <v>4417951.8177517448</v>
      </c>
      <c r="T16" s="254">
        <f t="shared" si="4"/>
        <v>895638.32269254222</v>
      </c>
      <c r="U16" s="254">
        <f t="shared" si="5"/>
        <v>120328.57750000001</v>
      </c>
      <c r="V16" s="252">
        <f t="shared" si="3"/>
        <v>1734000</v>
      </c>
      <c r="W16" s="252">
        <f t="shared" si="1"/>
        <v>3699918.7179442868</v>
      </c>
      <c r="X16" s="255"/>
      <c r="Y16" s="255"/>
      <c r="Z16" s="255"/>
      <c r="AA16" s="255"/>
    </row>
    <row r="17" spans="2:27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26020</v>
      </c>
      <c r="K17" s="205"/>
      <c r="L17" s="215"/>
      <c r="M17" s="216"/>
      <c r="N17" s="210"/>
      <c r="P17" s="249">
        <v>11</v>
      </c>
      <c r="Q17" s="251">
        <f t="shared" ca="1" si="6"/>
        <v>46391</v>
      </c>
      <c r="R17" s="251" t="str">
        <f t="shared" ca="1" si="0"/>
        <v>January 2027</v>
      </c>
      <c r="S17" s="252">
        <f t="shared" si="2"/>
        <v>4454768.0828996757</v>
      </c>
      <c r="T17" s="254">
        <f t="shared" si="4"/>
        <v>908101.97538164665</v>
      </c>
      <c r="U17" s="254">
        <f t="shared" si="5"/>
        <v>132587.30833333335</v>
      </c>
      <c r="V17" s="252">
        <f t="shared" si="3"/>
        <v>1734000</v>
      </c>
      <c r="W17" s="252">
        <f t="shared" si="1"/>
        <v>3761457.3666146556</v>
      </c>
      <c r="X17" s="255"/>
      <c r="Y17" s="255"/>
      <c r="Z17" s="255"/>
      <c r="AA17" s="255"/>
    </row>
    <row r="18" spans="2:27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6"/>
        <v>46421</v>
      </c>
      <c r="R18" s="251" t="str">
        <f t="shared" ca="1" si="0"/>
        <v>February 2027</v>
      </c>
      <c r="S18" s="252">
        <f t="shared" si="2"/>
        <v>4491891.150257173</v>
      </c>
      <c r="T18" s="254">
        <f t="shared" si="4"/>
        <v>920669.49184316036</v>
      </c>
      <c r="U18" s="254">
        <f t="shared" si="5"/>
        <v>144846.03916666668</v>
      </c>
      <c r="V18" s="252">
        <f t="shared" si="3"/>
        <v>1734000</v>
      </c>
      <c r="W18" s="252">
        <f t="shared" si="1"/>
        <v>3823406.6812669998</v>
      </c>
      <c r="X18" s="255"/>
      <c r="Y18" s="255"/>
      <c r="Z18" s="255"/>
      <c r="AA18" s="255"/>
    </row>
    <row r="19" spans="2:27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6"/>
        <v>46451</v>
      </c>
      <c r="R19" s="251" t="str">
        <f t="shared" ca="1" si="0"/>
        <v>March 2027</v>
      </c>
      <c r="S19" s="252">
        <f t="shared" si="2"/>
        <v>4529323.5765093155</v>
      </c>
      <c r="T19" s="254">
        <f t="shared" si="4"/>
        <v>933341.73760851996</v>
      </c>
      <c r="U19" s="254">
        <f t="shared" si="5"/>
        <v>157104.77000000002</v>
      </c>
      <c r="V19" s="252">
        <f t="shared" si="3"/>
        <v>1734000</v>
      </c>
      <c r="W19" s="252">
        <f t="shared" si="1"/>
        <v>3885770.0841178354</v>
      </c>
      <c r="X19" s="255"/>
      <c r="Y19" s="255"/>
      <c r="Z19" s="255"/>
      <c r="AA19" s="255"/>
    </row>
    <row r="20" spans="2:27" ht="33" x14ac:dyDescent="0.35">
      <c r="B20" s="97" t="s">
        <v>36</v>
      </c>
      <c r="C20" s="175">
        <f t="shared" ref="C20:C23" si="7">D20*12</f>
        <v>36000</v>
      </c>
      <c r="D20" s="176">
        <f>M20</f>
        <v>3000</v>
      </c>
      <c r="E20" s="48"/>
      <c r="F20" s="121"/>
      <c r="G20" s="125"/>
      <c r="H20" s="22"/>
      <c r="I20" s="147"/>
      <c r="K20" s="205"/>
      <c r="L20" s="212" t="s">
        <v>118</v>
      </c>
      <c r="M20" s="223">
        <v>3000</v>
      </c>
      <c r="N20" s="210"/>
      <c r="P20" s="249">
        <v>14</v>
      </c>
      <c r="Q20" s="251">
        <f t="shared" ca="1" si="6"/>
        <v>46481</v>
      </c>
      <c r="R20" s="251" t="str">
        <f t="shared" ca="1" si="0"/>
        <v>April 2027</v>
      </c>
      <c r="S20" s="252">
        <f t="shared" si="2"/>
        <v>4567067.9396468932</v>
      </c>
      <c r="T20" s="254">
        <f t="shared" si="4"/>
        <v>946119.58542192425</v>
      </c>
      <c r="U20" s="254">
        <f t="shared" si="5"/>
        <v>169363.50083333335</v>
      </c>
      <c r="V20" s="252">
        <f t="shared" si="3"/>
        <v>1734000</v>
      </c>
      <c r="W20" s="252">
        <f t="shared" si="1"/>
        <v>3948551.0259021511</v>
      </c>
      <c r="X20" s="255"/>
      <c r="Y20" s="255"/>
      <c r="Z20" s="255"/>
      <c r="AA20" s="255"/>
    </row>
    <row r="21" spans="2:27" ht="34" thickBot="1" x14ac:dyDescent="0.4">
      <c r="B21" s="97" t="str">
        <f>L21</f>
        <v>Interest Forest Lake</v>
      </c>
      <c r="C21" s="175">
        <f t="shared" si="7"/>
        <v>33280</v>
      </c>
      <c r="D21" s="176">
        <f>M21*I45/12</f>
        <v>2773.3333333333335</v>
      </c>
      <c r="E21" s="48"/>
      <c r="F21" s="121"/>
      <c r="G21" s="125"/>
      <c r="H21" s="22"/>
      <c r="I21" s="147"/>
      <c r="K21" s="205"/>
      <c r="L21" s="212" t="s">
        <v>167</v>
      </c>
      <c r="M21" s="225">
        <v>6.5000000000000002E-2</v>
      </c>
      <c r="N21" s="210"/>
      <c r="P21" s="249">
        <v>15</v>
      </c>
      <c r="Q21" s="251">
        <f t="shared" ca="1" si="6"/>
        <v>46511</v>
      </c>
      <c r="R21" s="251" t="str">
        <f t="shared" ca="1" si="0"/>
        <v>May 2027</v>
      </c>
      <c r="S21" s="252">
        <f t="shared" si="2"/>
        <v>4605126.8391439505</v>
      </c>
      <c r="T21" s="254">
        <f t="shared" si="4"/>
        <v>959003.91530044028</v>
      </c>
      <c r="U21" s="254">
        <f t="shared" si="5"/>
        <v>181622.23166666669</v>
      </c>
      <c r="V21" s="252">
        <f t="shared" si="3"/>
        <v>1734000</v>
      </c>
      <c r="W21" s="252">
        <f t="shared" si="1"/>
        <v>4011752.986111057</v>
      </c>
      <c r="X21" s="255"/>
      <c r="Y21" s="255"/>
      <c r="Z21" s="255"/>
      <c r="AA21" s="255"/>
    </row>
    <row r="22" spans="2:27" ht="34" thickBot="1" x14ac:dyDescent="0.4">
      <c r="B22" s="97" t="str">
        <f>L22</f>
        <v>Interest Strathpine</v>
      </c>
      <c r="C22" s="175">
        <f t="shared" si="7"/>
        <v>7800</v>
      </c>
      <c r="D22" s="176">
        <f>M22*I46/12</f>
        <v>650</v>
      </c>
      <c r="E22" s="49"/>
      <c r="F22" s="122"/>
      <c r="G22" s="157" t="s">
        <v>86</v>
      </c>
      <c r="H22" s="104">
        <f>I17-I28</f>
        <v>12258.730833333333</v>
      </c>
      <c r="I22" s="147"/>
      <c r="K22" s="205"/>
      <c r="L22" s="212" t="s">
        <v>168</v>
      </c>
      <c r="M22" s="225">
        <v>6.5000000000000002E-2</v>
      </c>
      <c r="N22" s="210"/>
      <c r="P22" s="249">
        <v>16</v>
      </c>
      <c r="Q22" s="251">
        <f t="shared" ca="1" si="6"/>
        <v>46541</v>
      </c>
      <c r="R22" s="251" t="str">
        <f t="shared" ca="1" si="0"/>
        <v>June 2027</v>
      </c>
      <c r="S22" s="252">
        <f t="shared" si="2"/>
        <v>4643502.8961368166</v>
      </c>
      <c r="T22" s="254">
        <f t="shared" si="4"/>
        <v>971995.61459461064</v>
      </c>
      <c r="U22" s="254">
        <f t="shared" si="5"/>
        <v>193880.96250000002</v>
      </c>
      <c r="V22" s="252">
        <f t="shared" si="3"/>
        <v>1734000</v>
      </c>
      <c r="W22" s="252">
        <f t="shared" si="1"/>
        <v>4075379.4732314274</v>
      </c>
      <c r="X22" s="255"/>
      <c r="Y22" s="255"/>
      <c r="Z22" s="255"/>
      <c r="AA22" s="255"/>
    </row>
    <row r="23" spans="2:27" ht="33" x14ac:dyDescent="0.35">
      <c r="B23" s="97" t="s">
        <v>123</v>
      </c>
      <c r="C23" s="175">
        <f t="shared" si="7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6"/>
        <v>46571</v>
      </c>
      <c r="R23" s="251" t="str">
        <f t="shared" ca="1" si="0"/>
        <v>July 2027</v>
      </c>
      <c r="S23" s="252">
        <f t="shared" si="2"/>
        <v>4682198.7536046235</v>
      </c>
      <c r="T23" s="254">
        <f t="shared" si="4"/>
        <v>985095.57804956567</v>
      </c>
      <c r="U23" s="254">
        <f t="shared" si="5"/>
        <v>206139.69333333336</v>
      </c>
      <c r="V23" s="252">
        <f t="shared" si="3"/>
        <v>1734000</v>
      </c>
      <c r="W23" s="252">
        <f t="shared" si="1"/>
        <v>4139434.0249875225</v>
      </c>
      <c r="X23" s="255"/>
      <c r="Y23" s="255"/>
      <c r="Z23" s="255"/>
      <c r="AA23" s="255"/>
    </row>
    <row r="24" spans="2:27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6"/>
        <v>46601</v>
      </c>
      <c r="R24" s="251" t="str">
        <f t="shared" ca="1" si="0"/>
        <v>August 2027</v>
      </c>
      <c r="S24" s="252">
        <f t="shared" si="2"/>
        <v>4721217.0765513284</v>
      </c>
      <c r="T24" s="254">
        <f t="shared" si="4"/>
        <v>998304.7078666453</v>
      </c>
      <c r="U24" s="254">
        <f t="shared" si="5"/>
        <v>218398.42416666669</v>
      </c>
      <c r="V24" s="252">
        <f t="shared" si="3"/>
        <v>1734000</v>
      </c>
      <c r="W24" s="252">
        <f t="shared" si="1"/>
        <v>4203920.2085846402</v>
      </c>
      <c r="X24" s="255"/>
      <c r="Y24" s="255"/>
      <c r="Z24" s="255"/>
      <c r="AA24" s="255"/>
    </row>
    <row r="25" spans="2:27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6"/>
        <v>46631</v>
      </c>
      <c r="R25" s="251" t="str">
        <f t="shared" ca="1" si="0"/>
        <v>September 2027</v>
      </c>
      <c r="S25" s="252">
        <f t="shared" si="2"/>
        <v>4760560.5521892561</v>
      </c>
      <c r="T25" s="254">
        <f t="shared" si="4"/>
        <v>1011623.9137655339</v>
      </c>
      <c r="U25" s="254">
        <f t="shared" si="5"/>
        <v>230657.15500000003</v>
      </c>
      <c r="V25" s="252">
        <f t="shared" si="3"/>
        <v>1734000</v>
      </c>
      <c r="W25" s="252">
        <f t="shared" si="1"/>
        <v>4268841.6209547902</v>
      </c>
      <c r="X25" s="255"/>
      <c r="Y25" s="255"/>
      <c r="Z25" s="255"/>
      <c r="AA25" s="255"/>
    </row>
    <row r="26" spans="2:27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6"/>
        <v>46661</v>
      </c>
      <c r="R26" s="251" t="str">
        <f t="shared" ca="1" si="0"/>
        <v>October 2027</v>
      </c>
      <c r="S26" s="252">
        <f t="shared" si="2"/>
        <v>4800231.8901241664</v>
      </c>
      <c r="T26" s="254">
        <f t="shared" si="4"/>
        <v>1025054.1130469134</v>
      </c>
      <c r="U26" s="254">
        <f t="shared" si="5"/>
        <v>242915.88583333336</v>
      </c>
      <c r="V26" s="252">
        <f t="shared" si="3"/>
        <v>1734000</v>
      </c>
      <c r="W26" s="252">
        <f t="shared" si="1"/>
        <v>4334201.889004413</v>
      </c>
      <c r="X26" s="255"/>
      <c r="Y26" s="255"/>
      <c r="Z26" s="255"/>
      <c r="AA26" s="255"/>
    </row>
    <row r="27" spans="2:27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6"/>
        <v>46691</v>
      </c>
      <c r="R27" s="251" t="str">
        <f t="shared" ca="1" si="0"/>
        <v>October 2027</v>
      </c>
      <c r="S27" s="252">
        <f t="shared" si="2"/>
        <v>4840233.8225418674</v>
      </c>
      <c r="T27" s="254">
        <f t="shared" si="4"/>
        <v>1038596.2306556377</v>
      </c>
      <c r="U27" s="254">
        <f t="shared" si="5"/>
        <v>255174.6166666667</v>
      </c>
      <c r="V27" s="252">
        <f t="shared" si="3"/>
        <v>1734000</v>
      </c>
      <c r="W27" s="252">
        <f t="shared" si="1"/>
        <v>4400004.6698641721</v>
      </c>
      <c r="X27" s="255"/>
      <c r="Y27" s="255"/>
      <c r="Z27" s="255"/>
      <c r="AA27" s="255"/>
    </row>
    <row r="28" spans="2:27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13761.269166666667</v>
      </c>
      <c r="K28" s="205"/>
      <c r="L28" s="211" t="s">
        <v>119</v>
      </c>
      <c r="M28" s="217"/>
      <c r="N28" s="205"/>
      <c r="P28" s="249">
        <v>22</v>
      </c>
      <c r="Q28" s="251">
        <f t="shared" ca="1" si="6"/>
        <v>46721</v>
      </c>
      <c r="R28" s="251" t="str">
        <f t="shared" ca="1" si="0"/>
        <v>November 2027</v>
      </c>
      <c r="S28" s="252">
        <f t="shared" si="2"/>
        <v>4880569.1043963823</v>
      </c>
      <c r="T28" s="254">
        <f t="shared" si="4"/>
        <v>1052251.1992444345</v>
      </c>
      <c r="U28" s="254">
        <f t="shared" si="5"/>
        <v>267433.34750000003</v>
      </c>
      <c r="V28" s="252">
        <f t="shared" si="3"/>
        <v>1734000</v>
      </c>
      <c r="W28" s="252">
        <f t="shared" si="1"/>
        <v>4466253.6511408165</v>
      </c>
      <c r="X28" s="255"/>
      <c r="Y28" s="255"/>
      <c r="Z28" s="255"/>
      <c r="AA28" s="255"/>
    </row>
    <row r="29" spans="2:27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6"/>
        <v>46751</v>
      </c>
      <c r="R29" s="251" t="str">
        <f t="shared" ca="1" si="0"/>
        <v>December 2027</v>
      </c>
      <c r="S29" s="252">
        <f t="shared" si="2"/>
        <v>4921240.5135996854</v>
      </c>
      <c r="T29" s="254">
        <f t="shared" si="4"/>
        <v>1066019.959238138</v>
      </c>
      <c r="U29" s="254">
        <f t="shared" si="5"/>
        <v>279692.07833333337</v>
      </c>
      <c r="V29" s="252">
        <f t="shared" si="3"/>
        <v>1734000</v>
      </c>
      <c r="W29" s="252">
        <f t="shared" si="1"/>
        <v>4532952.5511711566</v>
      </c>
      <c r="X29" s="255"/>
      <c r="Y29" s="255"/>
      <c r="Z29" s="255"/>
      <c r="AA29" s="255"/>
    </row>
    <row r="30" spans="2:27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6"/>
        <v>46781</v>
      </c>
      <c r="R30" s="251" t="str">
        <f t="shared" ca="1" si="0"/>
        <v>January 2028</v>
      </c>
      <c r="S30" s="252">
        <f t="shared" si="2"/>
        <v>4962250.8512130156</v>
      </c>
      <c r="T30" s="254">
        <f t="shared" si="4"/>
        <v>1079903.4588984558</v>
      </c>
      <c r="U30" s="254">
        <f t="shared" si="5"/>
        <v>291950.8091666667</v>
      </c>
      <c r="V30" s="252">
        <f t="shared" si="3"/>
        <v>1734000</v>
      </c>
      <c r="W30" s="252">
        <f t="shared" si="1"/>
        <v>4600105.1192781385</v>
      </c>
      <c r="X30" s="255"/>
      <c r="Y30" s="255"/>
      <c r="Z30" s="255"/>
      <c r="AA30" s="255"/>
    </row>
    <row r="31" spans="2:27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6"/>
        <v>46811</v>
      </c>
      <c r="R31" s="251" t="str">
        <f t="shared" ca="1" si="0"/>
        <v>February 2028</v>
      </c>
      <c r="S31" s="252">
        <f t="shared" si="2"/>
        <v>5003602.9416397903</v>
      </c>
      <c r="T31" s="254">
        <f t="shared" si="4"/>
        <v>1093902.6543892762</v>
      </c>
      <c r="U31" s="254">
        <f t="shared" si="5"/>
        <v>304209.54000000004</v>
      </c>
      <c r="V31" s="252">
        <f t="shared" si="3"/>
        <v>1734000</v>
      </c>
      <c r="W31" s="252">
        <f t="shared" si="1"/>
        <v>4667715.1360290665</v>
      </c>
      <c r="X31" s="255"/>
      <c r="Y31" s="255"/>
      <c r="Z31" s="255"/>
      <c r="AA31" s="255"/>
    </row>
    <row r="32" spans="2:27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6"/>
        <v>46841</v>
      </c>
      <c r="R32" s="251" t="str">
        <f t="shared" ca="1" si="0"/>
        <v>March 2028</v>
      </c>
      <c r="S32" s="252">
        <f t="shared" si="2"/>
        <v>5045299.6328201219</v>
      </c>
      <c r="T32" s="254">
        <f t="shared" si="4"/>
        <v>1108018.5098425201</v>
      </c>
      <c r="U32" s="254">
        <f t="shared" si="5"/>
        <v>316468.27083333337</v>
      </c>
      <c r="V32" s="252">
        <f t="shared" si="3"/>
        <v>1734000</v>
      </c>
      <c r="W32" s="252">
        <f t="shared" si="1"/>
        <v>4735786.4134959755</v>
      </c>
      <c r="X32" s="255"/>
      <c r="Y32" s="255"/>
      <c r="Z32" s="255"/>
      <c r="AA32" s="255"/>
    </row>
    <row r="33" spans="2:27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6"/>
        <v>46871</v>
      </c>
      <c r="R33" s="251" t="str">
        <f t="shared" ca="1" si="0"/>
        <v>April 2028</v>
      </c>
      <c r="S33" s="252">
        <f t="shared" si="2"/>
        <v>5087343.7964269565</v>
      </c>
      <c r="T33" s="254">
        <f t="shared" si="4"/>
        <v>1122251.997424541</v>
      </c>
      <c r="U33" s="254">
        <f t="shared" si="5"/>
        <v>328727.00166666671</v>
      </c>
      <c r="V33" s="252">
        <f t="shared" si="3"/>
        <v>1734000</v>
      </c>
      <c r="W33" s="252">
        <f t="shared" si="1"/>
        <v>4804322.7955181645</v>
      </c>
      <c r="X33" s="255"/>
      <c r="Y33" s="255"/>
      <c r="Z33" s="255"/>
      <c r="AA33" s="255"/>
    </row>
    <row r="34" spans="2:27" ht="33" x14ac:dyDescent="0.35">
      <c r="B34" s="160" t="s">
        <v>46</v>
      </c>
      <c r="C34" s="22"/>
      <c r="D34" s="107"/>
      <c r="E34" s="179">
        <f>M40</f>
        <v>10000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6"/>
        <v>46901</v>
      </c>
      <c r="R34" s="251" t="str">
        <f t="shared" ca="1" si="0"/>
        <v>May 2028</v>
      </c>
      <c r="S34" s="252">
        <f t="shared" si="2"/>
        <v>5129738.3280638475</v>
      </c>
      <c r="T34" s="254">
        <f t="shared" si="4"/>
        <v>1136604.0974030788</v>
      </c>
      <c r="U34" s="254">
        <f t="shared" si="5"/>
        <v>340985.73250000004</v>
      </c>
      <c r="V34" s="252">
        <f t="shared" si="3"/>
        <v>1734000</v>
      </c>
      <c r="W34" s="252">
        <f t="shared" si="1"/>
        <v>4873328.1579669267</v>
      </c>
      <c r="X34" s="255"/>
      <c r="Y34" s="255"/>
      <c r="Z34" s="255"/>
      <c r="AA34" s="255"/>
    </row>
    <row r="35" spans="2:27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6"/>
        <v>46931</v>
      </c>
      <c r="R35" s="251" t="str">
        <f t="shared" ca="1" si="0"/>
        <v>June 2028</v>
      </c>
      <c r="S35" s="252">
        <f t="shared" si="2"/>
        <v>5172486.1474643797</v>
      </c>
      <c r="T35" s="254">
        <f t="shared" si="4"/>
        <v>1151075.7982147711</v>
      </c>
      <c r="U35" s="254">
        <f t="shared" si="5"/>
        <v>353244.46333333338</v>
      </c>
      <c r="V35" s="252">
        <f t="shared" si="3"/>
        <v>1734000</v>
      </c>
      <c r="W35" s="252">
        <f t="shared" si="1"/>
        <v>4942806.4090124834</v>
      </c>
      <c r="X35" s="255"/>
      <c r="Y35" s="255"/>
      <c r="Z35" s="255"/>
      <c r="AA35" s="255"/>
    </row>
    <row r="36" spans="2:27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6"/>
        <v>46961</v>
      </c>
      <c r="R36" s="251" t="str">
        <f t="shared" ca="1" si="0"/>
        <v>July 2028</v>
      </c>
      <c r="S36" s="252">
        <f t="shared" si="2"/>
        <v>5215590.1986932494</v>
      </c>
      <c r="T36" s="254">
        <f t="shared" si="4"/>
        <v>1165668.0965332275</v>
      </c>
      <c r="U36" s="254">
        <f t="shared" si="5"/>
        <v>365503.19416666671</v>
      </c>
      <c r="V36" s="252">
        <f t="shared" si="3"/>
        <v>1734000</v>
      </c>
      <c r="W36" s="252">
        <f t="shared" si="1"/>
        <v>5012761.4893931439</v>
      </c>
      <c r="X36" s="255"/>
      <c r="Y36" s="255"/>
      <c r="Z36" s="255"/>
      <c r="AA36" s="255"/>
    </row>
    <row r="37" spans="2:27" ht="31" x14ac:dyDescent="0.3">
      <c r="B37" s="160" t="s">
        <v>51</v>
      </c>
      <c r="C37" s="22"/>
      <c r="D37" s="107"/>
      <c r="E37" s="179">
        <f>M43</f>
        <v>171000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6"/>
        <v>46991</v>
      </c>
      <c r="R37" s="251" t="str">
        <f t="shared" ca="1" si="0"/>
        <v>August 2028</v>
      </c>
      <c r="S37" s="252">
        <f t="shared" si="2"/>
        <v>5259053.4503490264</v>
      </c>
      <c r="T37" s="254">
        <f t="shared" si="4"/>
        <v>1180381.997337671</v>
      </c>
      <c r="U37" s="254">
        <f t="shared" si="5"/>
        <v>377761.92500000005</v>
      </c>
      <c r="V37" s="252">
        <f t="shared" si="3"/>
        <v>1734000</v>
      </c>
      <c r="W37" s="252">
        <f t="shared" si="1"/>
        <v>5083197.3726866972</v>
      </c>
      <c r="X37" s="255"/>
      <c r="Y37" s="255"/>
      <c r="Z37" s="255"/>
      <c r="AA37" s="255"/>
    </row>
    <row r="38" spans="2:27" ht="29" customHeight="1" thickBot="1" x14ac:dyDescent="0.4">
      <c r="B38" s="160" t="s">
        <v>52</v>
      </c>
      <c r="C38" s="22"/>
      <c r="D38" s="107"/>
      <c r="E38" s="179">
        <f>M44</f>
        <v>167000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6"/>
        <v>47021</v>
      </c>
      <c r="R38" s="251" t="str">
        <f t="shared" ca="1" si="0"/>
        <v>September 2028</v>
      </c>
      <c r="S38" s="252">
        <f t="shared" si="2"/>
        <v>5302878.8957686014</v>
      </c>
      <c r="T38" s="254">
        <f t="shared" si="4"/>
        <v>1195218.5139821516</v>
      </c>
      <c r="U38" s="254">
        <f t="shared" si="5"/>
        <v>390020.65583333338</v>
      </c>
      <c r="V38" s="252">
        <f t="shared" si="3"/>
        <v>1734000</v>
      </c>
      <c r="W38" s="252">
        <f t="shared" si="1"/>
        <v>5154118.0655840868</v>
      </c>
      <c r="X38" s="255"/>
      <c r="Y38" s="255"/>
      <c r="Z38" s="255"/>
      <c r="AA38" s="255"/>
    </row>
    <row r="39" spans="2:27" ht="33" x14ac:dyDescent="0.35">
      <c r="B39" s="160" t="s">
        <v>54</v>
      </c>
      <c r="C39" s="22"/>
      <c r="D39" s="107"/>
      <c r="E39" s="179">
        <f>M45</f>
        <v>450000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6"/>
        <v>47051</v>
      </c>
      <c r="R39" s="251" t="str">
        <f t="shared" ca="1" si="0"/>
        <v>October 2028</v>
      </c>
      <c r="S39" s="252">
        <f t="shared" si="2"/>
        <v>5347069.5532333395</v>
      </c>
      <c r="T39" s="254">
        <f t="shared" si="4"/>
        <v>1210178.6682653362</v>
      </c>
      <c r="U39" s="254">
        <f t="shared" si="5"/>
        <v>402279.38666666672</v>
      </c>
      <c r="V39" s="252">
        <f t="shared" si="3"/>
        <v>1734000</v>
      </c>
      <c r="W39" s="252">
        <f t="shared" si="1"/>
        <v>5225527.6081653424</v>
      </c>
      <c r="X39" s="255"/>
      <c r="Y39" s="255"/>
      <c r="Z39" s="255"/>
      <c r="AA39" s="255"/>
    </row>
    <row r="40" spans="2:27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10000</v>
      </c>
      <c r="N40" s="210"/>
      <c r="P40" s="249">
        <v>34</v>
      </c>
      <c r="Q40" s="251">
        <f t="shared" ca="1" si="6"/>
        <v>47081</v>
      </c>
      <c r="R40" s="251" t="str">
        <f t="shared" ca="1" si="0"/>
        <v>November 2028</v>
      </c>
      <c r="S40" s="252">
        <f t="shared" si="2"/>
        <v>5391628.4661769504</v>
      </c>
      <c r="T40" s="254">
        <f t="shared" si="4"/>
        <v>1225263.4905008806</v>
      </c>
      <c r="U40" s="254">
        <f t="shared" si="5"/>
        <v>414538.11750000005</v>
      </c>
      <c r="V40" s="252">
        <f t="shared" si="3"/>
        <v>1734000</v>
      </c>
      <c r="W40" s="252">
        <f t="shared" si="1"/>
        <v>5297430.0741778305</v>
      </c>
      <c r="X40" s="255"/>
      <c r="Y40" s="255"/>
      <c r="Z40" s="255"/>
      <c r="AA40" s="255"/>
    </row>
    <row r="41" spans="2:27" ht="33" x14ac:dyDescent="0.35">
      <c r="B41" s="160" t="s">
        <v>65</v>
      </c>
      <c r="C41" s="22"/>
      <c r="D41" s="107"/>
      <c r="E41" s="179">
        <f>M47</f>
        <v>200000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6"/>
        <v>47111</v>
      </c>
      <c r="R41" s="251" t="str">
        <f t="shared" ca="1" si="0"/>
        <v>December 2028</v>
      </c>
      <c r="S41" s="252">
        <f t="shared" si="2"/>
        <v>5436558.7033950919</v>
      </c>
      <c r="T41" s="254">
        <f t="shared" si="4"/>
        <v>1240474.019588388</v>
      </c>
      <c r="U41" s="254">
        <f t="shared" si="5"/>
        <v>426796.84833333339</v>
      </c>
      <c r="V41" s="252">
        <f t="shared" si="3"/>
        <v>1734000</v>
      </c>
      <c r="W41" s="252">
        <f t="shared" si="1"/>
        <v>5369829.5713168131</v>
      </c>
      <c r="X41" s="255"/>
      <c r="Y41" s="255"/>
      <c r="Z41" s="255"/>
      <c r="AA41" s="255"/>
    </row>
    <row r="42" spans="2:27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6"/>
        <v>47141</v>
      </c>
      <c r="R42" s="251" t="str">
        <f t="shared" ca="1" si="0"/>
        <v>January 2029</v>
      </c>
      <c r="S42" s="252">
        <f t="shared" si="2"/>
        <v>5481863.3592567174</v>
      </c>
      <c r="T42" s="254">
        <f t="shared" si="4"/>
        <v>1255811.3030849579</v>
      </c>
      <c r="U42" s="254">
        <f t="shared" si="5"/>
        <v>439055.57916666672</v>
      </c>
      <c r="V42" s="252">
        <f t="shared" si="3"/>
        <v>1734000</v>
      </c>
      <c r="W42" s="252">
        <f t="shared" si="1"/>
        <v>5442730.2415083414</v>
      </c>
      <c r="X42" s="255"/>
      <c r="Y42" s="255"/>
      <c r="Z42" s="255"/>
      <c r="AA42" s="255"/>
    </row>
    <row r="43" spans="2:27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171000</v>
      </c>
      <c r="N43" s="210"/>
      <c r="P43" s="249">
        <v>37</v>
      </c>
      <c r="Q43" s="251">
        <f t="shared" ca="1" si="6"/>
        <v>47171</v>
      </c>
      <c r="R43" s="251" t="str">
        <f t="shared" ca="1" si="0"/>
        <v>February 2029</v>
      </c>
      <c r="S43" s="252">
        <f t="shared" si="2"/>
        <v>5527545.5539171901</v>
      </c>
      <c r="T43" s="254">
        <f t="shared" si="4"/>
        <v>1271276.3972773324</v>
      </c>
      <c r="U43" s="254">
        <f t="shared" si="5"/>
        <v>451314.31000000006</v>
      </c>
      <c r="V43" s="252">
        <f t="shared" si="3"/>
        <v>1734000</v>
      </c>
      <c r="W43" s="252">
        <f t="shared" si="1"/>
        <v>5516136.2611945234</v>
      </c>
      <c r="X43" s="255"/>
      <c r="Y43" s="255"/>
      <c r="Z43" s="255"/>
      <c r="AA43" s="255"/>
    </row>
    <row r="44" spans="2:27" ht="33" x14ac:dyDescent="0.35">
      <c r="B44" s="160" t="s">
        <v>2</v>
      </c>
      <c r="D44" s="182">
        <f>E44-I44</f>
        <v>2000000</v>
      </c>
      <c r="E44" s="179">
        <f>M50</f>
        <v>2500000</v>
      </c>
      <c r="G44" s="97" t="s">
        <v>6</v>
      </c>
      <c r="H44" s="22"/>
      <c r="I44" s="109">
        <f>M62</f>
        <v>500000</v>
      </c>
      <c r="K44" s="205"/>
      <c r="L44" s="212" t="s">
        <v>80</v>
      </c>
      <c r="M44" s="223">
        <v>167000</v>
      </c>
      <c r="N44" s="210"/>
      <c r="P44" s="249">
        <v>38</v>
      </c>
      <c r="Q44" s="251">
        <f t="shared" ca="1" si="6"/>
        <v>47201</v>
      </c>
      <c r="R44" s="251" t="str">
        <f t="shared" ca="1" si="0"/>
        <v>March 2029</v>
      </c>
      <c r="S44" s="252">
        <f t="shared" si="2"/>
        <v>5573608.4335331665</v>
      </c>
      <c r="T44" s="254">
        <f t="shared" si="4"/>
        <v>1286870.3672546435</v>
      </c>
      <c r="U44" s="254">
        <f t="shared" si="5"/>
        <v>463573.04083333339</v>
      </c>
      <c r="V44" s="252">
        <f t="shared" si="3"/>
        <v>1734000</v>
      </c>
      <c r="W44" s="252">
        <f t="shared" si="1"/>
        <v>5590051.8416211437</v>
      </c>
      <c r="X44" s="255"/>
      <c r="Y44" s="255"/>
      <c r="Z44" s="255"/>
      <c r="AA44" s="255"/>
    </row>
    <row r="45" spans="2:27" ht="33" x14ac:dyDescent="0.35">
      <c r="B45" s="160" t="str">
        <f>L51</f>
        <v>Investment 1 - Forest Lake value</v>
      </c>
      <c r="D45" s="182">
        <f>E45-I45</f>
        <v>438000</v>
      </c>
      <c r="E45" s="179">
        <f>M51</f>
        <v>950000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450000</v>
      </c>
      <c r="N45" s="210"/>
      <c r="P45" s="249">
        <v>39</v>
      </c>
      <c r="Q45" s="251">
        <f t="shared" ca="1" si="6"/>
        <v>47231</v>
      </c>
      <c r="R45" s="251" t="str">
        <f t="shared" ca="1" si="0"/>
        <v>April 2029</v>
      </c>
      <c r="S45" s="252">
        <f t="shared" si="2"/>
        <v>5620055.1704792762</v>
      </c>
      <c r="T45" s="254">
        <f t="shared" si="4"/>
        <v>1302594.2869817654</v>
      </c>
      <c r="U45" s="254">
        <f t="shared" si="5"/>
        <v>475831.77166666673</v>
      </c>
      <c r="V45" s="252">
        <f t="shared" si="3"/>
        <v>1734000</v>
      </c>
      <c r="W45" s="252">
        <f t="shared" si="1"/>
        <v>5664481.2291277079</v>
      </c>
      <c r="X45" s="255"/>
      <c r="Y45" s="255"/>
      <c r="Z45" s="255"/>
      <c r="AA45" s="255"/>
    </row>
    <row r="46" spans="2:27" ht="33" x14ac:dyDescent="0.35">
      <c r="B46" s="160" t="str">
        <f>L52</f>
        <v>Investment 2 - Strathpine value</v>
      </c>
      <c r="D46" s="182">
        <f>E46-I46</f>
        <v>530000</v>
      </c>
      <c r="E46" s="179">
        <f>M52</f>
        <v>650000</v>
      </c>
      <c r="G46" s="97" t="s">
        <v>4</v>
      </c>
      <c r="H46" s="22"/>
      <c r="I46" s="109">
        <f>M65</f>
        <v>120000</v>
      </c>
      <c r="K46" s="205"/>
      <c r="L46" s="212"/>
      <c r="M46" s="213"/>
      <c r="N46" s="210"/>
      <c r="P46" s="249">
        <v>40</v>
      </c>
      <c r="Q46" s="251">
        <f t="shared" ca="1" si="6"/>
        <v>47261</v>
      </c>
      <c r="R46" s="251" t="str">
        <f t="shared" ca="1" si="0"/>
        <v>May 2029</v>
      </c>
      <c r="S46" s="252">
        <f t="shared" si="2"/>
        <v>5666888.9635666031</v>
      </c>
      <c r="T46" s="254">
        <f t="shared" si="4"/>
        <v>1318449.2393732802</v>
      </c>
      <c r="U46" s="254">
        <f t="shared" si="5"/>
        <v>488090.50250000006</v>
      </c>
      <c r="V46" s="252">
        <f t="shared" si="3"/>
        <v>1734000</v>
      </c>
      <c r="W46" s="252">
        <f t="shared" si="1"/>
        <v>5739428.7054398833</v>
      </c>
      <c r="X46" s="255"/>
      <c r="Y46" s="255"/>
      <c r="Z46" s="255"/>
      <c r="AA46" s="255"/>
    </row>
    <row r="47" spans="2:27" ht="33" x14ac:dyDescent="0.35">
      <c r="B47" s="160" t="s">
        <v>123</v>
      </c>
      <c r="D47" s="182">
        <f>E47-I47</f>
        <v>0</v>
      </c>
      <c r="E47" s="179">
        <f>M53</f>
        <v>600000</v>
      </c>
      <c r="G47" s="97" t="s">
        <v>123</v>
      </c>
      <c r="H47" s="22"/>
      <c r="I47" s="109">
        <f>M66</f>
        <v>600000</v>
      </c>
      <c r="K47" s="205"/>
      <c r="L47" s="212" t="s">
        <v>65</v>
      </c>
      <c r="M47" s="223">
        <v>200000</v>
      </c>
      <c r="N47" s="210"/>
      <c r="P47" s="249">
        <v>41</v>
      </c>
      <c r="Q47" s="251">
        <f t="shared" ca="1" si="6"/>
        <v>47291</v>
      </c>
      <c r="R47" s="251" t="str">
        <f t="shared" ca="1" si="0"/>
        <v>June 2029</v>
      </c>
      <c r="S47" s="252">
        <f t="shared" si="2"/>
        <v>5714113.0382629912</v>
      </c>
      <c r="T47" s="254">
        <f t="shared" si="4"/>
        <v>1334436.3163680574</v>
      </c>
      <c r="U47" s="254">
        <f t="shared" si="5"/>
        <v>500349.2333333334</v>
      </c>
      <c r="V47" s="252">
        <f t="shared" si="3"/>
        <v>1734000</v>
      </c>
      <c r="W47" s="252">
        <f t="shared" si="1"/>
        <v>5814898.587964382</v>
      </c>
      <c r="X47" s="255"/>
      <c r="Y47" s="255"/>
      <c r="Z47" s="255"/>
      <c r="AA47" s="255"/>
    </row>
    <row r="48" spans="2:27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6"/>
        <v>47321</v>
      </c>
      <c r="R48" s="251" t="str">
        <f t="shared" ca="1" si="0"/>
        <v>July 2029</v>
      </c>
      <c r="S48" s="252">
        <f t="shared" si="2"/>
        <v>5761730.6469151825</v>
      </c>
      <c r="T48" s="254">
        <f t="shared" si="4"/>
        <v>1350556.6190044577</v>
      </c>
      <c r="U48" s="254">
        <f t="shared" si="5"/>
        <v>512607.96416666673</v>
      </c>
      <c r="V48" s="252">
        <f t="shared" si="3"/>
        <v>1734000</v>
      </c>
      <c r="W48" s="252">
        <f t="shared" si="1"/>
        <v>5890895.230086307</v>
      </c>
      <c r="X48" s="255"/>
      <c r="Y48" s="255"/>
      <c r="Z48" s="255"/>
      <c r="AA48" s="255"/>
    </row>
    <row r="49" spans="2:27" ht="34" thickBot="1" x14ac:dyDescent="0.4">
      <c r="B49" s="128" t="s">
        <v>156</v>
      </c>
      <c r="C49" s="108"/>
      <c r="D49" s="107"/>
      <c r="E49" s="148">
        <f>SUM(E34:E48)</f>
        <v>5898000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6"/>
        <v>47351</v>
      </c>
      <c r="R49" s="251" t="str">
        <f t="shared" ca="1" si="0"/>
        <v>August 2029</v>
      </c>
      <c r="S49" s="252">
        <f t="shared" si="2"/>
        <v>5809745.0689728092</v>
      </c>
      <c r="T49" s="254">
        <f t="shared" si="4"/>
        <v>1366811.2574961614</v>
      </c>
      <c r="U49" s="254">
        <f t="shared" si="5"/>
        <v>524866.69500000007</v>
      </c>
      <c r="V49" s="252">
        <f t="shared" si="3"/>
        <v>1734000</v>
      </c>
      <c r="W49" s="252">
        <f t="shared" si="1"/>
        <v>5967423.0214689709</v>
      </c>
      <c r="X49" s="255"/>
      <c r="Y49" s="255"/>
      <c r="Z49" s="255"/>
      <c r="AA49" s="255"/>
    </row>
    <row r="50" spans="2:27" s="17" customFormat="1" ht="34" thickBot="1" x14ac:dyDescent="0.4">
      <c r="B50" s="186" t="s">
        <v>60</v>
      </c>
      <c r="C50" s="187"/>
      <c r="D50" s="187"/>
      <c r="E50" s="188">
        <f>SUM(E49-E42-E41)</f>
        <v>5498000</v>
      </c>
      <c r="G50" s="64" t="s">
        <v>59</v>
      </c>
      <c r="H50" s="51"/>
      <c r="I50" s="52">
        <f>SUM(I35:I49)</f>
        <v>1734000</v>
      </c>
      <c r="K50" s="206"/>
      <c r="L50" s="212" t="s">
        <v>82</v>
      </c>
      <c r="M50" s="223">
        <v>2500000</v>
      </c>
      <c r="N50" s="210"/>
      <c r="O50" s="18"/>
      <c r="P50" s="249">
        <v>44</v>
      </c>
      <c r="Q50" s="251">
        <f t="shared" ca="1" si="6"/>
        <v>47381</v>
      </c>
      <c r="R50" s="251" t="str">
        <f t="shared" ca="1" si="0"/>
        <v>September 2029</v>
      </c>
      <c r="S50" s="252">
        <f t="shared" si="2"/>
        <v>5858159.6112142494</v>
      </c>
      <c r="T50" s="254">
        <f t="shared" si="4"/>
        <v>1383201.3513086294</v>
      </c>
      <c r="U50" s="254">
        <f t="shared" si="5"/>
        <v>537125.4258333334</v>
      </c>
      <c r="V50" s="252">
        <f t="shared" si="3"/>
        <v>1734000</v>
      </c>
      <c r="W50" s="252">
        <f t="shared" si="1"/>
        <v>6044486.3883562125</v>
      </c>
      <c r="X50" s="255"/>
      <c r="Y50" s="256"/>
      <c r="Z50" s="256"/>
      <c r="AA50" s="256"/>
    </row>
    <row r="51" spans="2:27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49">
        <v>45</v>
      </c>
      <c r="Q51" s="251">
        <f t="shared" ca="1" si="6"/>
        <v>47411</v>
      </c>
      <c r="R51" s="251" t="str">
        <f t="shared" ca="1" si="0"/>
        <v>October 2029</v>
      </c>
      <c r="S51" s="252">
        <f t="shared" si="2"/>
        <v>5906977.6079743681</v>
      </c>
      <c r="T51" s="254">
        <f t="shared" si="4"/>
        <v>1399728.0292362012</v>
      </c>
      <c r="U51" s="254">
        <f t="shared" si="5"/>
        <v>549384.15666666673</v>
      </c>
      <c r="V51" s="252">
        <f t="shared" si="3"/>
        <v>1734000</v>
      </c>
      <c r="W51" s="252">
        <f t="shared" si="1"/>
        <v>6122089.7938772365</v>
      </c>
      <c r="X51" s="255"/>
      <c r="Y51" s="256"/>
      <c r="Z51" s="256"/>
      <c r="AA51" s="256"/>
    </row>
    <row r="52" spans="2:27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6"/>
        <v>47441</v>
      </c>
      <c r="R52" s="251" t="str">
        <f t="shared" ca="1" si="0"/>
        <v>November 2029</v>
      </c>
      <c r="S52" s="252">
        <f t="shared" si="2"/>
        <v>5956202.4213741543</v>
      </c>
      <c r="T52" s="254">
        <f t="shared" si="4"/>
        <v>1416392.4294798363</v>
      </c>
      <c r="U52" s="254">
        <f t="shared" si="5"/>
        <v>561642.88750000007</v>
      </c>
      <c r="V52" s="252">
        <f t="shared" si="3"/>
        <v>1734000</v>
      </c>
      <c r="W52" s="252">
        <f t="shared" si="1"/>
        <v>6200237.7383539909</v>
      </c>
      <c r="X52" s="255"/>
      <c r="Y52" s="256"/>
      <c r="Z52" s="256"/>
      <c r="AA52" s="256"/>
    </row>
    <row r="53" spans="2:27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>
        <v>600000</v>
      </c>
      <c r="N53" s="205"/>
      <c r="O53" s="18"/>
      <c r="P53" s="249">
        <v>47</v>
      </c>
      <c r="Q53" s="251">
        <f t="shared" ca="1" si="6"/>
        <v>47471</v>
      </c>
      <c r="R53" s="251" t="str">
        <f t="shared" ca="1" si="0"/>
        <v>December 2029</v>
      </c>
      <c r="S53" s="252">
        <f t="shared" si="2"/>
        <v>6005837.4415522721</v>
      </c>
      <c r="T53" s="254">
        <f t="shared" si="4"/>
        <v>1433195.6997255015</v>
      </c>
      <c r="U53" s="254">
        <f t="shared" si="5"/>
        <v>573901.6183333334</v>
      </c>
      <c r="V53" s="252">
        <f t="shared" si="3"/>
        <v>1734000</v>
      </c>
      <c r="W53" s="252">
        <f t="shared" si="1"/>
        <v>6278934.7596111065</v>
      </c>
      <c r="X53" s="255"/>
      <c r="Y53" s="256"/>
      <c r="Z53" s="256"/>
      <c r="AA53" s="256"/>
    </row>
    <row r="54" spans="2:27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6"/>
        <v>47501</v>
      </c>
      <c r="R54" s="251" t="str">
        <f t="shared" ca="1" si="0"/>
        <v>January 2030</v>
      </c>
      <c r="S54" s="252">
        <f t="shared" si="2"/>
        <v>6055886.0868985411</v>
      </c>
      <c r="T54" s="254">
        <f t="shared" si="4"/>
        <v>1450138.997223214</v>
      </c>
      <c r="U54" s="254">
        <f t="shared" si="5"/>
        <v>586160.34916666674</v>
      </c>
      <c r="V54" s="252">
        <f t="shared" si="3"/>
        <v>1734000</v>
      </c>
      <c r="W54" s="252">
        <f t="shared" si="1"/>
        <v>6358185.4332884224</v>
      </c>
      <c r="X54" s="255"/>
      <c r="Y54" s="256"/>
      <c r="Z54" s="256"/>
      <c r="AA54" s="256"/>
    </row>
    <row r="55" spans="2:27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6"/>
        <v>47531</v>
      </c>
      <c r="R55" s="251" t="str">
        <f t="shared" ca="1" si="0"/>
        <v>February 2030</v>
      </c>
      <c r="S55" s="252">
        <f t="shared" si="2"/>
        <v>6106351.8042893624</v>
      </c>
      <c r="T55" s="254">
        <f t="shared" si="4"/>
        <v>1467223.4888667408</v>
      </c>
      <c r="U55" s="254">
        <f t="shared" si="5"/>
        <v>598419.08000000007</v>
      </c>
      <c r="V55" s="252">
        <f t="shared" si="3"/>
        <v>1734000</v>
      </c>
      <c r="W55" s="252">
        <f t="shared" si="1"/>
        <v>6437994.3731561033</v>
      </c>
      <c r="X55" s="255"/>
      <c r="Y55" s="256"/>
      <c r="Z55" s="256"/>
      <c r="AA55" s="256"/>
    </row>
    <row r="56" spans="2:27" s="17" customFormat="1" ht="46" thickBot="1" x14ac:dyDescent="0.5">
      <c r="B56" s="197" t="s">
        <v>160</v>
      </c>
      <c r="C56" s="198"/>
      <c r="D56" s="199">
        <f>E50-I50</f>
        <v>3764000</v>
      </c>
      <c r="E56" s="200"/>
      <c r="F56" s="201"/>
      <c r="G56" s="202" t="s">
        <v>158</v>
      </c>
      <c r="H56" s="203" t="s">
        <v>114</v>
      </c>
      <c r="I56" s="204">
        <f>I17-I28</f>
        <v>12258.730833333333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6"/>
        <v>47561</v>
      </c>
      <c r="R56" s="251" t="str">
        <f t="shared" ca="1" si="0"/>
        <v>March 2030</v>
      </c>
      <c r="S56" s="252">
        <f t="shared" si="2"/>
        <v>6157238.0693251071</v>
      </c>
      <c r="T56" s="254">
        <f t="shared" si="4"/>
        <v>1484450.3512739637</v>
      </c>
      <c r="U56" s="254">
        <f t="shared" si="5"/>
        <v>610677.81083333341</v>
      </c>
      <c r="V56" s="252">
        <f t="shared" si="3"/>
        <v>1734000</v>
      </c>
      <c r="W56" s="252">
        <f t="shared" si="1"/>
        <v>6518366.2314324044</v>
      </c>
      <c r="X56" s="255"/>
      <c r="Y56" s="256"/>
      <c r="Z56" s="256"/>
      <c r="AA56" s="256"/>
    </row>
    <row r="57" spans="2:27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6"/>
        <v>47591</v>
      </c>
      <c r="R57" s="251" t="str">
        <f t="shared" ca="1" si="0"/>
        <v>April 2030</v>
      </c>
      <c r="S57" s="252">
        <f t="shared" si="2"/>
        <v>6208548.3865694832</v>
      </c>
      <c r="T57" s="254">
        <f t="shared" si="4"/>
        <v>1501820.7708679133</v>
      </c>
      <c r="U57" s="254">
        <f t="shared" si="5"/>
        <v>622936.54166666674</v>
      </c>
      <c r="V57" s="252">
        <f t="shared" si="3"/>
        <v>1734000</v>
      </c>
      <c r="W57" s="252">
        <f t="shared" si="1"/>
        <v>6599305.6991040632</v>
      </c>
      <c r="X57" s="255"/>
      <c r="Y57" s="255"/>
      <c r="Z57" s="255"/>
      <c r="AA57" s="255"/>
    </row>
    <row r="58" spans="2:27" ht="33" x14ac:dyDescent="0.35">
      <c r="B58" s="135" t="s">
        <v>159</v>
      </c>
      <c r="C58" s="130"/>
      <c r="D58" s="101">
        <f>E49-I50</f>
        <v>4164000</v>
      </c>
      <c r="E58" s="130"/>
      <c r="G58" s="115" t="s">
        <v>113</v>
      </c>
      <c r="H58" s="115" t="s">
        <v>115</v>
      </c>
      <c r="I58" s="189">
        <f>I56*12</f>
        <v>147104.76999999999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6"/>
        <v>47621</v>
      </c>
      <c r="R58" s="251" t="str">
        <f t="shared" ca="1" si="0"/>
        <v>May 2030</v>
      </c>
      <c r="S58" s="252">
        <f t="shared" si="2"/>
        <v>6260286.2897908958</v>
      </c>
      <c r="T58" s="254">
        <f t="shared" si="4"/>
        <v>1519335.9439584792</v>
      </c>
      <c r="U58" s="254">
        <f t="shared" si="5"/>
        <v>635195.27250000008</v>
      </c>
      <c r="V58" s="252">
        <f t="shared" si="3"/>
        <v>1734000</v>
      </c>
      <c r="W58" s="252">
        <f t="shared" si="1"/>
        <v>6680817.5062493756</v>
      </c>
      <c r="X58" s="255"/>
      <c r="Y58" s="255"/>
      <c r="Z58" s="255"/>
      <c r="AA58" s="255"/>
    </row>
    <row r="59" spans="2:27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6"/>
        <v>47651</v>
      </c>
      <c r="R59" s="251" t="str">
        <f t="shared" ca="1" si="0"/>
        <v>June 2030</v>
      </c>
      <c r="S59" s="252">
        <f t="shared" si="2"/>
        <v>6312455.3422058197</v>
      </c>
      <c r="T59" s="254">
        <f t="shared" si="4"/>
        <v>1536997.0768247999</v>
      </c>
      <c r="U59" s="254">
        <f t="shared" si="5"/>
        <v>647454.00333333341</v>
      </c>
      <c r="V59" s="252">
        <f t="shared" si="3"/>
        <v>1734000</v>
      </c>
      <c r="W59" s="252">
        <f t="shared" si="1"/>
        <v>6762906.4223639537</v>
      </c>
      <c r="X59" s="255"/>
      <c r="Y59" s="256"/>
      <c r="Z59" s="256"/>
      <c r="AA59" s="256"/>
    </row>
    <row r="60" spans="2:27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6"/>
        <v>47681</v>
      </c>
      <c r="R60" s="251" t="str">
        <f t="shared" ca="1" si="0"/>
        <v>July 2030</v>
      </c>
      <c r="S60" s="252">
        <f t="shared" si="2"/>
        <v>6365059.136724201</v>
      </c>
      <c r="T60" s="254">
        <f t="shared" si="4"/>
        <v>1554805.3857983397</v>
      </c>
      <c r="U60" s="254">
        <f t="shared" si="5"/>
        <v>659712.73416666675</v>
      </c>
      <c r="V60" s="252">
        <f t="shared" si="3"/>
        <v>1734000</v>
      </c>
      <c r="W60" s="252">
        <f t="shared" si="1"/>
        <v>6845577.2566892076</v>
      </c>
      <c r="X60" s="255"/>
      <c r="Y60" s="256"/>
      <c r="Z60" s="256"/>
      <c r="AA60" s="256"/>
    </row>
    <row r="61" spans="2:27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6"/>
        <v>47711</v>
      </c>
      <c r="R61" s="251" t="str">
        <f t="shared" ca="1" si="0"/>
        <v>August 2030</v>
      </c>
      <c r="S61" s="252">
        <f t="shared" si="2"/>
        <v>6418101.2961969022</v>
      </c>
      <c r="T61" s="254">
        <f t="shared" si="4"/>
        <v>1572762.0973466593</v>
      </c>
      <c r="U61" s="254">
        <f t="shared" si="5"/>
        <v>671971.46500000008</v>
      </c>
      <c r="V61" s="252">
        <f t="shared" si="3"/>
        <v>1734000</v>
      </c>
      <c r="W61" s="252">
        <f t="shared" si="1"/>
        <v>6928834.8585435618</v>
      </c>
      <c r="X61" s="255"/>
      <c r="Y61" s="256"/>
      <c r="Z61" s="256"/>
      <c r="AA61" s="256"/>
    </row>
    <row r="62" spans="2:27" s="17" customFormat="1" ht="45" x14ac:dyDescent="0.35">
      <c r="B62" s="234" t="s">
        <v>105</v>
      </c>
      <c r="C62" s="118"/>
      <c r="D62" s="106">
        <f>SUM(I44:I47)</f>
        <v>1732000</v>
      </c>
      <c r="E62" s="118"/>
      <c r="F62" s="22"/>
      <c r="G62" s="195" t="s">
        <v>1</v>
      </c>
      <c r="H62" s="195" t="s">
        <v>114</v>
      </c>
      <c r="I62" s="196">
        <f>H5</f>
        <v>2596.6666666666665</v>
      </c>
      <c r="J62" s="18"/>
      <c r="K62" s="205"/>
      <c r="L62" s="212" t="s">
        <v>85</v>
      </c>
      <c r="M62" s="223">
        <v>500000</v>
      </c>
      <c r="N62" s="205"/>
      <c r="O62" s="18"/>
      <c r="P62" s="249">
        <v>56</v>
      </c>
      <c r="Q62" s="251">
        <f t="shared" ca="1" si="6"/>
        <v>47741</v>
      </c>
      <c r="R62" s="251" t="str">
        <f t="shared" ca="1" si="0"/>
        <v>September 2030</v>
      </c>
      <c r="S62" s="252">
        <f t="shared" si="2"/>
        <v>6471585.4736652095</v>
      </c>
      <c r="T62" s="254">
        <f t="shared" si="4"/>
        <v>1590868.4481578814</v>
      </c>
      <c r="U62" s="254">
        <f t="shared" si="5"/>
        <v>684230.19583333342</v>
      </c>
      <c r="V62" s="252">
        <f t="shared" si="3"/>
        <v>1734000</v>
      </c>
      <c r="W62" s="252">
        <f t="shared" si="1"/>
        <v>7012684.1176564246</v>
      </c>
      <c r="X62" s="255"/>
      <c r="Y62" s="256"/>
      <c r="Z62" s="256"/>
      <c r="AA62" s="256"/>
    </row>
    <row r="63" spans="2:27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6"/>
        <v>47771</v>
      </c>
      <c r="R63" s="251" t="str">
        <f t="shared" ca="1" si="0"/>
        <v>October 2030</v>
      </c>
      <c r="S63" s="252">
        <f t="shared" si="2"/>
        <v>6525515.3526124191</v>
      </c>
      <c r="T63" s="254">
        <f t="shared" si="4"/>
        <v>1609125.6852258637</v>
      </c>
      <c r="U63" s="254">
        <f t="shared" si="5"/>
        <v>696488.92666666675</v>
      </c>
      <c r="V63" s="252">
        <f t="shared" si="3"/>
        <v>1734000</v>
      </c>
      <c r="W63" s="252">
        <f t="shared" si="1"/>
        <v>7097129.9645049497</v>
      </c>
      <c r="X63" s="255"/>
      <c r="Y63" s="256"/>
      <c r="Z63" s="256"/>
      <c r="AA63" s="256"/>
    </row>
    <row r="64" spans="2:27" s="17" customFormat="1" ht="33" x14ac:dyDescent="0.35">
      <c r="B64" s="234" t="s">
        <v>100</v>
      </c>
      <c r="C64" s="118"/>
      <c r="D64" s="106">
        <f>SUM(E44:E47)</f>
        <v>4700000</v>
      </c>
      <c r="E64" s="118"/>
      <c r="F64" s="22"/>
      <c r="G64" s="117" t="s">
        <v>126</v>
      </c>
      <c r="H64" s="117" t="s">
        <v>114</v>
      </c>
      <c r="I64" s="192">
        <f>I28-H5</f>
        <v>11164.602500000001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6"/>
        <v>47801</v>
      </c>
      <c r="R64" s="251" t="str">
        <f t="shared" ca="1" si="0"/>
        <v>November 2030</v>
      </c>
      <c r="S64" s="252">
        <f t="shared" si="2"/>
        <v>6579894.6472175224</v>
      </c>
      <c r="T64" s="254">
        <f t="shared" si="4"/>
        <v>1627535.0659360792</v>
      </c>
      <c r="U64" s="254">
        <f t="shared" si="5"/>
        <v>708747.65750000009</v>
      </c>
      <c r="V64" s="252">
        <f t="shared" si="3"/>
        <v>1734000</v>
      </c>
      <c r="W64" s="252">
        <f t="shared" si="1"/>
        <v>7182177.3706536014</v>
      </c>
      <c r="X64" s="255"/>
      <c r="Y64" s="256"/>
      <c r="Z64" s="256"/>
      <c r="AA64" s="256"/>
    </row>
    <row r="65" spans="2:27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120000</v>
      </c>
      <c r="N65" s="205"/>
      <c r="O65" s="18"/>
      <c r="P65" s="249">
        <v>59</v>
      </c>
      <c r="Q65" s="251">
        <f t="shared" ca="1" si="6"/>
        <v>47831</v>
      </c>
      <c r="R65" s="251" t="str">
        <f t="shared" ca="1" si="0"/>
        <v>December 2030</v>
      </c>
      <c r="S65" s="252">
        <f t="shared" si="2"/>
        <v>6634727.1026110016</v>
      </c>
      <c r="T65" s="254">
        <f t="shared" si="4"/>
        <v>1646097.8581522133</v>
      </c>
      <c r="U65" s="254">
        <f t="shared" si="5"/>
        <v>721006.38833333342</v>
      </c>
      <c r="V65" s="252">
        <f t="shared" si="3"/>
        <v>1734000</v>
      </c>
      <c r="W65" s="252">
        <f t="shared" si="1"/>
        <v>7267831.3490965478</v>
      </c>
      <c r="X65" s="255"/>
      <c r="Y65" s="256"/>
      <c r="Z65" s="256"/>
      <c r="AA65" s="256"/>
    </row>
    <row r="66" spans="2:27" ht="33" x14ac:dyDescent="0.35">
      <c r="B66" s="234" t="s">
        <v>101</v>
      </c>
      <c r="C66" s="118"/>
      <c r="D66" s="237">
        <f>SUM(D44:D47)</f>
        <v>2968000</v>
      </c>
      <c r="E66" s="118"/>
      <c r="G66" s="117" t="s">
        <v>125</v>
      </c>
      <c r="H66" s="117"/>
      <c r="I66" s="192">
        <f>I64*12/0.09</f>
        <v>1488613.6666666667</v>
      </c>
      <c r="K66" s="205"/>
      <c r="L66" s="212" t="s">
        <v>123</v>
      </c>
      <c r="M66" s="223">
        <v>600000</v>
      </c>
      <c r="N66" s="205"/>
      <c r="P66" s="249">
        <v>60</v>
      </c>
      <c r="Q66" s="251">
        <f ca="1">Q65+30</f>
        <v>47861</v>
      </c>
      <c r="R66" s="251" t="str">
        <f t="shared" ca="1" si="0"/>
        <v>January 2031</v>
      </c>
      <c r="S66" s="252">
        <f t="shared" si="2"/>
        <v>6690016.4951327601</v>
      </c>
      <c r="T66" s="254">
        <f t="shared" si="4"/>
        <v>1664815.3403034816</v>
      </c>
      <c r="U66" s="254">
        <f t="shared" si="5"/>
        <v>733265.11916666676</v>
      </c>
      <c r="V66" s="252">
        <f t="shared" si="3"/>
        <v>1734000</v>
      </c>
      <c r="W66" s="252">
        <f t="shared" si="1"/>
        <v>7354096.9546029083</v>
      </c>
      <c r="X66" s="255"/>
      <c r="Y66" s="255"/>
      <c r="Z66" s="255"/>
      <c r="AA66" s="255"/>
    </row>
    <row r="67" spans="2:27" ht="34" thickBot="1" x14ac:dyDescent="0.4">
      <c r="B67" s="238"/>
      <c r="C67" s="118"/>
      <c r="D67" s="237"/>
      <c r="E67" s="118"/>
      <c r="G67" s="113" t="s">
        <v>122</v>
      </c>
      <c r="H67" s="99"/>
      <c r="I67" s="190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5"/>
      <c r="X67" s="255"/>
      <c r="Y67" s="255"/>
      <c r="Z67" s="255"/>
      <c r="AA67" s="255"/>
    </row>
    <row r="68" spans="2:27" ht="25" x14ac:dyDescent="0.2">
      <c r="B68" s="234" t="s">
        <v>29</v>
      </c>
      <c r="C68" s="118"/>
      <c r="D68" s="239">
        <f>D62/D64</f>
        <v>0.36851063829787234</v>
      </c>
      <c r="E68" s="118"/>
      <c r="H68" s="99"/>
      <c r="I68" s="147"/>
      <c r="K68" s="205"/>
      <c r="L68" s="206"/>
      <c r="M68" s="205"/>
      <c r="N68" s="205"/>
    </row>
    <row r="69" spans="2:27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7" ht="33" x14ac:dyDescent="0.35">
      <c r="B70" s="234" t="s">
        <v>121</v>
      </c>
      <c r="C70" s="118"/>
      <c r="D70" s="237">
        <f>(80%-D68)*D64</f>
        <v>2028000.0000000002</v>
      </c>
      <c r="E70" s="118"/>
      <c r="G70" s="114"/>
      <c r="H70" s="99"/>
      <c r="I70" s="147"/>
      <c r="L70" s="119"/>
      <c r="M70" s="120"/>
    </row>
    <row r="71" spans="2:27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610000</v>
      </c>
      <c r="L71" s="247">
        <f>D56</f>
        <v>3764000</v>
      </c>
      <c r="M71" s="120"/>
    </row>
    <row r="72" spans="2:27" ht="29" customHeight="1" x14ac:dyDescent="0.35">
      <c r="B72" s="137"/>
      <c r="E72" s="99"/>
      <c r="G72" s="232" t="s">
        <v>163</v>
      </c>
      <c r="H72" s="232"/>
      <c r="I72" s="233">
        <f>SUM(E37:E39)</f>
        <v>788000</v>
      </c>
      <c r="L72" s="246">
        <f>L71*M72</f>
        <v>1505600</v>
      </c>
      <c r="M72" s="248">
        <v>0.4</v>
      </c>
    </row>
    <row r="73" spans="2:27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1398000</v>
      </c>
      <c r="L73" s="246">
        <f>L72+M73</f>
        <v>2055600</v>
      </c>
      <c r="M73" s="119">
        <v>550000</v>
      </c>
    </row>
    <row r="74" spans="2:27" ht="29" customHeight="1" x14ac:dyDescent="0.35">
      <c r="B74" s="125"/>
      <c r="E74" s="99"/>
      <c r="H74" s="99"/>
      <c r="I74" s="147"/>
      <c r="L74" s="246">
        <f>L73+M74</f>
        <v>2855600</v>
      </c>
      <c r="M74" s="119">
        <v>800000</v>
      </c>
      <c r="N74" s="119"/>
    </row>
    <row r="75" spans="2:27" ht="29" customHeight="1" x14ac:dyDescent="0.35">
      <c r="B75" s="138" t="s">
        <v>128</v>
      </c>
      <c r="C75" s="131"/>
      <c r="D75" s="102">
        <f>D78-D62</f>
        <v>-61337.328385585919</v>
      </c>
      <c r="E75" s="131"/>
      <c r="G75" s="114" t="s">
        <v>127</v>
      </c>
      <c r="H75" s="99"/>
      <c r="I75" s="147"/>
      <c r="L75" s="119"/>
      <c r="M75" s="119"/>
      <c r="N75" s="119"/>
    </row>
    <row r="76" spans="2:27" ht="29" customHeight="1" x14ac:dyDescent="0.35">
      <c r="B76" s="137" t="s">
        <v>112</v>
      </c>
      <c r="E76" s="99"/>
      <c r="G76" s="22"/>
      <c r="H76" s="99"/>
      <c r="I76" s="147"/>
      <c r="L76" s="247">
        <f>D56</f>
        <v>3764000</v>
      </c>
      <c r="M76" s="120"/>
      <c r="N76" s="119"/>
    </row>
    <row r="77" spans="2:27" ht="29" customHeight="1" x14ac:dyDescent="0.35">
      <c r="B77" s="137"/>
      <c r="E77" s="113"/>
      <c r="G77" s="601" t="s">
        <v>165</v>
      </c>
      <c r="H77" s="602"/>
      <c r="I77" s="194">
        <f>SUM(E34:E39)/(I28-H5)</f>
        <v>71.475898940423534</v>
      </c>
      <c r="L77" s="246">
        <f>L76*M77</f>
        <v>2258400</v>
      </c>
      <c r="M77" s="248">
        <v>0.6</v>
      </c>
      <c r="N77" s="119"/>
    </row>
    <row r="78" spans="2:27" ht="29" customHeight="1" x14ac:dyDescent="0.35">
      <c r="B78" s="138" t="s">
        <v>117</v>
      </c>
      <c r="C78" s="131"/>
      <c r="D78" s="102">
        <f>PV(8%/12,30*12,H22,0)*-1</f>
        <v>1670662.6716144141</v>
      </c>
      <c r="E78" s="131"/>
      <c r="G78" s="601" t="s">
        <v>166</v>
      </c>
      <c r="H78" s="602"/>
      <c r="I78" s="194">
        <f>SUM(E34:E39)/(I28-H5)/12</f>
        <v>5.9563249117019614</v>
      </c>
      <c r="L78" s="246">
        <f>L77+M78</f>
        <v>3058400</v>
      </c>
      <c r="M78" s="119">
        <v>800000</v>
      </c>
    </row>
    <row r="79" spans="2:27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1.0979997571192823</v>
      </c>
      <c r="L79" s="246"/>
      <c r="M79" s="119"/>
    </row>
    <row r="80" spans="2:27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2AB1-C383-F940-9E96-DB55F713C592}">
  <dimension ref="B1:AF94"/>
  <sheetViews>
    <sheetView showGridLines="0" zoomScale="60" zoomScaleNormal="60" workbookViewId="0">
      <selection activeCell="P6" sqref="P6:T20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5" width="25.1640625" style="18" customWidth="1"/>
    <col min="16" max="16" width="23.1640625" style="18" bestFit="1" customWidth="1"/>
    <col min="17" max="17" width="33.5" style="18" bestFit="1" customWidth="1"/>
    <col min="18" max="18" width="27" style="18" customWidth="1"/>
    <col min="19" max="19" width="67.5" style="18" bestFit="1" customWidth="1"/>
    <col min="20" max="21" width="27" style="18" bestFit="1" customWidth="1"/>
    <col min="22" max="22" width="35" style="18" bestFit="1" customWidth="1"/>
    <col min="23" max="16384" width="11" style="18"/>
  </cols>
  <sheetData>
    <row r="1" spans="2:32" ht="32" thickBot="1" x14ac:dyDescent="0.35">
      <c r="K1" s="205"/>
      <c r="L1" s="206"/>
      <c r="M1" s="205"/>
      <c r="N1" s="205"/>
      <c r="P1" s="251"/>
      <c r="Q1" s="29"/>
      <c r="R1" s="252"/>
      <c r="S1" s="258" t="s">
        <v>180</v>
      </c>
      <c r="T1" s="259">
        <v>0.1</v>
      </c>
      <c r="U1" s="252"/>
      <c r="V1" s="255"/>
      <c r="W1" s="255"/>
      <c r="X1" s="255"/>
      <c r="Y1" s="255"/>
      <c r="Z1" s="255"/>
    </row>
    <row r="2" spans="2:32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P2" s="251"/>
      <c r="Q2" s="249"/>
      <c r="R2" s="252"/>
      <c r="S2" s="258" t="s">
        <v>179</v>
      </c>
      <c r="T2" s="259">
        <v>0.1</v>
      </c>
      <c r="V2" s="255"/>
      <c r="W2" s="255"/>
      <c r="X2" s="255"/>
      <c r="Y2" s="255"/>
      <c r="Z2" s="255"/>
    </row>
    <row r="3" spans="2:32" ht="38" thickBot="1" x14ac:dyDescent="0.4">
      <c r="B3" s="19"/>
      <c r="E3" s="22"/>
      <c r="I3" s="22"/>
      <c r="K3" s="205"/>
      <c r="L3" s="209"/>
      <c r="M3" s="209"/>
      <c r="N3" s="210"/>
      <c r="P3" s="251"/>
      <c r="Q3" s="29"/>
      <c r="R3" s="252"/>
      <c r="S3" s="258" t="s">
        <v>175</v>
      </c>
      <c r="T3" s="260">
        <v>5000</v>
      </c>
      <c r="U3" s="252"/>
      <c r="V3" s="255"/>
      <c r="W3" s="255"/>
      <c r="X3" s="255"/>
      <c r="Y3" s="255"/>
      <c r="Z3" s="255"/>
      <c r="AF3" s="257" t="s">
        <v>176</v>
      </c>
    </row>
    <row r="4" spans="2:32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P4" s="251"/>
      <c r="Q4" s="29"/>
      <c r="R4" s="252"/>
      <c r="S4" s="252"/>
      <c r="T4" s="252"/>
      <c r="U4" s="252"/>
      <c r="V4" s="255"/>
      <c r="W4" s="255"/>
      <c r="X4" s="255"/>
      <c r="Y4" s="255"/>
      <c r="Z4" s="255"/>
    </row>
    <row r="5" spans="2:32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2596.6666666666665</v>
      </c>
      <c r="I5" s="143">
        <f>H5*12</f>
        <v>31160</v>
      </c>
      <c r="K5" s="205"/>
      <c r="L5" s="212"/>
      <c r="M5" s="213"/>
      <c r="N5" s="210"/>
      <c r="P5" s="251"/>
      <c r="Q5" s="29"/>
      <c r="R5" s="252"/>
      <c r="S5" s="252"/>
      <c r="T5" s="252"/>
      <c r="U5" s="252"/>
      <c r="V5" s="255"/>
      <c r="W5" s="255"/>
      <c r="X5" s="255"/>
      <c r="Y5" s="255"/>
      <c r="Z5" s="255"/>
    </row>
    <row r="6" spans="2:32" ht="33" x14ac:dyDescent="0.35">
      <c r="B6" s="97" t="s">
        <v>40</v>
      </c>
      <c r="C6" s="164">
        <f>D6*12</f>
        <v>240000</v>
      </c>
      <c r="D6" s="165">
        <f>M6</f>
        <v>20000</v>
      </c>
      <c r="E6" s="166"/>
      <c r="F6" s="61"/>
      <c r="G6" s="39"/>
      <c r="H6" s="55"/>
      <c r="I6" s="56"/>
      <c r="K6" s="205"/>
      <c r="L6" s="212" t="s">
        <v>70</v>
      </c>
      <c r="M6" s="223">
        <v>20000</v>
      </c>
      <c r="N6" s="210"/>
      <c r="P6" s="253" t="s">
        <v>172</v>
      </c>
      <c r="Q6" s="250" t="s">
        <v>171</v>
      </c>
      <c r="R6" s="250" t="s">
        <v>173</v>
      </c>
      <c r="S6" s="250" t="s">
        <v>124</v>
      </c>
      <c r="T6" s="250" t="s">
        <v>178</v>
      </c>
      <c r="U6" s="250" t="s">
        <v>174</v>
      </c>
      <c r="V6" s="250" t="s">
        <v>177</v>
      </c>
      <c r="W6" s="255"/>
      <c r="X6" s="255"/>
      <c r="Y6" s="255"/>
      <c r="Z6" s="255"/>
    </row>
    <row r="7" spans="2:32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51">
        <f ca="1">TODAY()</f>
        <v>46091</v>
      </c>
      <c r="Q7" s="251" t="str">
        <f t="shared" ref="Q7:Q38" ca="1" si="0">TEXT($P7,"MMMM")&amp;TEXT($P7," YYYY")</f>
        <v>March 2026</v>
      </c>
      <c r="R7" s="252">
        <f>SUM(E44:E46)</f>
        <v>3500000</v>
      </c>
      <c r="S7" s="252">
        <f>SUM(E37:E39)</f>
        <v>668000</v>
      </c>
      <c r="T7" s="252">
        <f>$E$34</f>
        <v>20000</v>
      </c>
      <c r="U7" s="252">
        <f>$I$50</f>
        <v>634000</v>
      </c>
      <c r="V7" s="252">
        <f t="shared" ref="V7:V38" si="1">SUM(R7:T7)-U7</f>
        <v>3554000</v>
      </c>
      <c r="W7" s="255"/>
      <c r="X7" s="255"/>
      <c r="Y7" s="255"/>
      <c r="Z7" s="255"/>
    </row>
    <row r="8" spans="2:32" ht="33" x14ac:dyDescent="0.35">
      <c r="B8" s="97" t="s">
        <v>42</v>
      </c>
      <c r="C8" s="167"/>
      <c r="D8" s="165">
        <f>M8</f>
        <v>150</v>
      </c>
      <c r="E8" s="169">
        <f>D8</f>
        <v>150</v>
      </c>
      <c r="F8" s="54"/>
      <c r="G8" s="97"/>
      <c r="H8" s="44"/>
      <c r="I8" s="47"/>
      <c r="K8" s="205"/>
      <c r="L8" s="212" t="s">
        <v>72</v>
      </c>
      <c r="M8" s="223">
        <v>150</v>
      </c>
      <c r="N8" s="210"/>
      <c r="P8" s="251">
        <f ca="1">P7+30</f>
        <v>46121</v>
      </c>
      <c r="Q8" s="251" t="str">
        <f t="shared" ca="1" si="0"/>
        <v>April 2026</v>
      </c>
      <c r="R8" s="252">
        <f t="shared" ref="R8:R39" si="2">($T$1/12+1)*R7</f>
        <v>3529166.6666666665</v>
      </c>
      <c r="S8" s="254">
        <f>($T$2/12+1)*S7+$T$3</f>
        <v>678566.66666666663</v>
      </c>
      <c r="T8" s="254">
        <f>T7+$I$56</f>
        <v>35258.730833333335</v>
      </c>
      <c r="U8" s="252">
        <f t="shared" ref="U8:U66" si="3">$I$50</f>
        <v>634000</v>
      </c>
      <c r="V8" s="252">
        <f t="shared" si="1"/>
        <v>3608992.064166666</v>
      </c>
      <c r="W8" s="255"/>
      <c r="X8" s="255"/>
      <c r="Y8" s="255"/>
      <c r="Z8" s="255"/>
    </row>
    <row r="9" spans="2:32" ht="33" x14ac:dyDescent="0.35">
      <c r="B9" s="97" t="s">
        <v>43</v>
      </c>
      <c r="C9" s="167"/>
      <c r="D9" s="165">
        <f>M9</f>
        <v>800</v>
      </c>
      <c r="E9" s="169">
        <f>D9</f>
        <v>800</v>
      </c>
      <c r="F9" s="54"/>
      <c r="G9" s="97"/>
      <c r="H9" s="44"/>
      <c r="I9" s="47"/>
      <c r="K9" s="205"/>
      <c r="L9" s="212" t="s">
        <v>73</v>
      </c>
      <c r="M9" s="223">
        <v>800</v>
      </c>
      <c r="N9" s="210"/>
      <c r="P9" s="251">
        <f ca="1">P8+30</f>
        <v>46151</v>
      </c>
      <c r="Q9" s="251" t="str">
        <f t="shared" ca="1" si="0"/>
        <v>May 2026</v>
      </c>
      <c r="R9" s="252">
        <f t="shared" si="2"/>
        <v>3558576.3888888885</v>
      </c>
      <c r="S9" s="254">
        <f t="shared" ref="S9:S66" si="4">($T$2/12+1)*S8+$T$3</f>
        <v>689221.38888888888</v>
      </c>
      <c r="T9" s="254">
        <f t="shared" ref="T9:T66" si="5">T8+$I$56</f>
        <v>50517.46166666667</v>
      </c>
      <c r="U9" s="252">
        <f t="shared" si="3"/>
        <v>634000</v>
      </c>
      <c r="V9" s="252">
        <f t="shared" si="1"/>
        <v>3664315.239444444</v>
      </c>
      <c r="W9" s="255"/>
      <c r="X9" s="255"/>
      <c r="Y9" s="255"/>
      <c r="Z9" s="255"/>
    </row>
    <row r="10" spans="2:32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51">
        <f t="shared" ref="P10:P65" ca="1" si="6">P9+30</f>
        <v>46181</v>
      </c>
      <c r="Q10" s="251" t="str">
        <f t="shared" ca="1" si="0"/>
        <v>June 2026</v>
      </c>
      <c r="R10" s="252">
        <f t="shared" si="2"/>
        <v>3588231.1921296292</v>
      </c>
      <c r="S10" s="254">
        <f t="shared" si="4"/>
        <v>699964.90046296292</v>
      </c>
      <c r="T10" s="254">
        <f t="shared" si="5"/>
        <v>65776.192500000005</v>
      </c>
      <c r="U10" s="252">
        <f t="shared" si="3"/>
        <v>634000</v>
      </c>
      <c r="V10" s="252">
        <f t="shared" si="1"/>
        <v>3719972.2850925922</v>
      </c>
      <c r="W10" s="255"/>
      <c r="X10" s="255"/>
      <c r="Y10" s="255"/>
      <c r="Z10" s="255"/>
    </row>
    <row r="11" spans="2:32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51">
        <f t="shared" ca="1" si="6"/>
        <v>46211</v>
      </c>
      <c r="Q11" s="251" t="str">
        <f t="shared" ca="1" si="0"/>
        <v>July 2026</v>
      </c>
      <c r="R11" s="252">
        <f t="shared" si="2"/>
        <v>3618133.1187307094</v>
      </c>
      <c r="S11" s="254">
        <f t="shared" si="4"/>
        <v>710797.94130015431</v>
      </c>
      <c r="T11" s="254">
        <f t="shared" si="5"/>
        <v>81034.92333333334</v>
      </c>
      <c r="U11" s="252">
        <f t="shared" si="3"/>
        <v>634000</v>
      </c>
      <c r="V11" s="252">
        <f t="shared" si="1"/>
        <v>3775965.9833641965</v>
      </c>
      <c r="W11" s="255"/>
      <c r="X11" s="255"/>
      <c r="Y11" s="255"/>
      <c r="Z11" s="255"/>
    </row>
    <row r="12" spans="2:32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51">
        <f t="shared" ca="1" si="6"/>
        <v>46241</v>
      </c>
      <c r="Q12" s="251" t="str">
        <f t="shared" ca="1" si="0"/>
        <v>August 2026</v>
      </c>
      <c r="R12" s="252">
        <f t="shared" si="2"/>
        <v>3648284.228053465</v>
      </c>
      <c r="S12" s="254">
        <f t="shared" si="4"/>
        <v>721721.25747765554</v>
      </c>
      <c r="T12" s="254">
        <f t="shared" si="5"/>
        <v>96293.654166666674</v>
      </c>
      <c r="U12" s="252">
        <f t="shared" si="3"/>
        <v>634000</v>
      </c>
      <c r="V12" s="252">
        <f t="shared" si="1"/>
        <v>3832299.1396977874</v>
      </c>
      <c r="W12" s="255"/>
      <c r="X12" s="255"/>
      <c r="Y12" s="255"/>
      <c r="Z12" s="255"/>
    </row>
    <row r="13" spans="2:32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51">
        <f t="shared" ca="1" si="6"/>
        <v>46271</v>
      </c>
      <c r="Q13" s="251" t="str">
        <f t="shared" ca="1" si="0"/>
        <v>September 2026</v>
      </c>
      <c r="R13" s="252">
        <f t="shared" si="2"/>
        <v>3678686.5966205769</v>
      </c>
      <c r="S13" s="254">
        <f t="shared" si="4"/>
        <v>732735.60128996929</v>
      </c>
      <c r="T13" s="254">
        <f t="shared" si="5"/>
        <v>111552.38500000001</v>
      </c>
      <c r="U13" s="252">
        <f t="shared" si="3"/>
        <v>634000</v>
      </c>
      <c r="V13" s="252">
        <f t="shared" si="1"/>
        <v>3888974.5829105461</v>
      </c>
      <c r="W13" s="255"/>
      <c r="X13" s="255"/>
      <c r="Y13" s="255"/>
      <c r="Z13" s="255"/>
    </row>
    <row r="14" spans="2:32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-86.66666666666697</v>
      </c>
      <c r="F14" s="41"/>
      <c r="G14" s="97" t="s">
        <v>68</v>
      </c>
      <c r="H14" s="145">
        <f>C14/E45</f>
        <v>3.3936842105263161E-2</v>
      </c>
      <c r="I14" s="47"/>
      <c r="K14" s="205"/>
      <c r="L14" s="212" t="s">
        <v>75</v>
      </c>
      <c r="M14" s="223">
        <v>620</v>
      </c>
      <c r="N14" s="210"/>
      <c r="P14" s="251">
        <f t="shared" ca="1" si="6"/>
        <v>46301</v>
      </c>
      <c r="Q14" s="251" t="str">
        <f t="shared" ca="1" si="0"/>
        <v>October 2026</v>
      </c>
      <c r="R14" s="252">
        <f t="shared" si="2"/>
        <v>3709342.3182590818</v>
      </c>
      <c r="S14" s="254">
        <f t="shared" si="4"/>
        <v>743841.73130071897</v>
      </c>
      <c r="T14" s="254">
        <f t="shared" si="5"/>
        <v>126811.11583333334</v>
      </c>
      <c r="U14" s="252">
        <f t="shared" si="3"/>
        <v>634000</v>
      </c>
      <c r="V14" s="252">
        <f t="shared" si="1"/>
        <v>3945995.1653931346</v>
      </c>
      <c r="W14" s="255"/>
      <c r="X14" s="255"/>
      <c r="Y14" s="255"/>
      <c r="Z14" s="255"/>
    </row>
    <row r="15" spans="2:32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1733.3333333333335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51">
        <f t="shared" ca="1" si="6"/>
        <v>46331</v>
      </c>
      <c r="Q15" s="251" t="str">
        <f t="shared" ca="1" si="0"/>
        <v>November 2026</v>
      </c>
      <c r="R15" s="252">
        <f t="shared" si="2"/>
        <v>3740253.5042445739</v>
      </c>
      <c r="S15" s="254">
        <f t="shared" si="4"/>
        <v>755040.41239489161</v>
      </c>
      <c r="T15" s="254">
        <f t="shared" si="5"/>
        <v>142069.84666666668</v>
      </c>
      <c r="U15" s="252">
        <f t="shared" si="3"/>
        <v>634000</v>
      </c>
      <c r="V15" s="252">
        <f t="shared" si="1"/>
        <v>4003363.7633061325</v>
      </c>
      <c r="W15" s="255"/>
      <c r="X15" s="255"/>
      <c r="Y15" s="255"/>
      <c r="Z15" s="255"/>
    </row>
    <row r="16" spans="2:32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51">
        <f t="shared" ca="1" si="6"/>
        <v>46361</v>
      </c>
      <c r="Q16" s="251" t="str">
        <f t="shared" ca="1" si="0"/>
        <v>December 2026</v>
      </c>
      <c r="R16" s="252">
        <f t="shared" si="2"/>
        <v>3771422.2834466118</v>
      </c>
      <c r="S16" s="254">
        <f t="shared" si="4"/>
        <v>766332.41583151568</v>
      </c>
      <c r="T16" s="254">
        <f t="shared" si="5"/>
        <v>157328.57750000001</v>
      </c>
      <c r="U16" s="252">
        <f t="shared" si="3"/>
        <v>634000</v>
      </c>
      <c r="V16" s="252">
        <f t="shared" si="1"/>
        <v>4061083.2767781271</v>
      </c>
      <c r="W16" s="255"/>
      <c r="X16" s="255"/>
      <c r="Y16" s="255"/>
      <c r="Z16" s="255"/>
    </row>
    <row r="17" spans="2:26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26020</v>
      </c>
      <c r="K17" s="205"/>
      <c r="L17" s="215"/>
      <c r="M17" s="216"/>
      <c r="N17" s="210"/>
      <c r="P17" s="251">
        <f t="shared" ca="1" si="6"/>
        <v>46391</v>
      </c>
      <c r="Q17" s="251" t="str">
        <f t="shared" ca="1" si="0"/>
        <v>January 2027</v>
      </c>
      <c r="R17" s="252">
        <f t="shared" si="2"/>
        <v>3802850.8024753337</v>
      </c>
      <c r="S17" s="254">
        <f t="shared" si="4"/>
        <v>777718.51929677825</v>
      </c>
      <c r="T17" s="254">
        <f t="shared" si="5"/>
        <v>172587.30833333335</v>
      </c>
      <c r="U17" s="252">
        <f t="shared" si="3"/>
        <v>634000</v>
      </c>
      <c r="V17" s="252">
        <f t="shared" si="1"/>
        <v>4119156.6301054452</v>
      </c>
      <c r="W17" s="255"/>
      <c r="X17" s="255"/>
      <c r="Y17" s="255"/>
      <c r="Z17" s="255"/>
    </row>
    <row r="18" spans="2:26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51">
        <f t="shared" ca="1" si="6"/>
        <v>46421</v>
      </c>
      <c r="Q18" s="251" t="str">
        <f t="shared" ca="1" si="0"/>
        <v>February 2027</v>
      </c>
      <c r="R18" s="252">
        <f t="shared" si="2"/>
        <v>3834541.2258292949</v>
      </c>
      <c r="S18" s="254">
        <f t="shared" si="4"/>
        <v>789199.50695758476</v>
      </c>
      <c r="T18" s="254">
        <f t="shared" si="5"/>
        <v>187846.03916666668</v>
      </c>
      <c r="U18" s="252">
        <f t="shared" si="3"/>
        <v>634000</v>
      </c>
      <c r="V18" s="252">
        <f t="shared" si="1"/>
        <v>4177586.7719535464</v>
      </c>
      <c r="W18" s="255"/>
      <c r="X18" s="255"/>
      <c r="Y18" s="255"/>
      <c r="Z18" s="255"/>
    </row>
    <row r="19" spans="2:26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51">
        <f t="shared" ca="1" si="6"/>
        <v>46451</v>
      </c>
      <c r="Q19" s="251" t="str">
        <f t="shared" ca="1" si="0"/>
        <v>March 2027</v>
      </c>
      <c r="R19" s="252">
        <f t="shared" si="2"/>
        <v>3866495.7360445387</v>
      </c>
      <c r="S19" s="254">
        <f t="shared" si="4"/>
        <v>800776.16951556457</v>
      </c>
      <c r="T19" s="254">
        <f t="shared" si="5"/>
        <v>203104.77000000002</v>
      </c>
      <c r="U19" s="252">
        <f t="shared" si="3"/>
        <v>634000</v>
      </c>
      <c r="V19" s="252">
        <f t="shared" si="1"/>
        <v>4236376.6755601037</v>
      </c>
      <c r="W19" s="255"/>
      <c r="X19" s="255"/>
      <c r="Y19" s="255"/>
      <c r="Z19" s="255"/>
    </row>
    <row r="20" spans="2:26" ht="33" x14ac:dyDescent="0.35">
      <c r="B20" s="97" t="s">
        <v>36</v>
      </c>
      <c r="C20" s="175">
        <f t="shared" ref="C20:C23" si="7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51">
        <f t="shared" ca="1" si="6"/>
        <v>46481</v>
      </c>
      <c r="Q20" s="251" t="str">
        <f t="shared" ca="1" si="0"/>
        <v>April 2027</v>
      </c>
      <c r="R20" s="252">
        <f t="shared" si="2"/>
        <v>3898716.5338449096</v>
      </c>
      <c r="S20" s="254">
        <f t="shared" si="4"/>
        <v>812449.30426152761</v>
      </c>
      <c r="T20" s="254">
        <f t="shared" si="5"/>
        <v>218363.50083333335</v>
      </c>
      <c r="U20" s="252">
        <f t="shared" si="3"/>
        <v>634000</v>
      </c>
      <c r="V20" s="252">
        <f t="shared" si="1"/>
        <v>4295529.3389397711</v>
      </c>
      <c r="W20" s="255"/>
      <c r="X20" s="255"/>
      <c r="Y20" s="255"/>
      <c r="Z20" s="255"/>
    </row>
    <row r="21" spans="2:26" ht="34" thickBot="1" x14ac:dyDescent="0.4">
      <c r="B21" s="97" t="str">
        <f>L21</f>
        <v>Interest Forest Lake</v>
      </c>
      <c r="C21" s="175">
        <f t="shared" si="7"/>
        <v>33280</v>
      </c>
      <c r="D21" s="176">
        <f>M21*I45/12</f>
        <v>2773.3333333333335</v>
      </c>
      <c r="E21" s="48"/>
      <c r="F21" s="121"/>
      <c r="G21" s="125"/>
      <c r="H21" s="22"/>
      <c r="I21" s="147"/>
      <c r="K21" s="205"/>
      <c r="L21" s="212" t="s">
        <v>167</v>
      </c>
      <c r="M21" s="225">
        <v>6.5000000000000002E-2</v>
      </c>
      <c r="N21" s="210"/>
      <c r="P21" s="251">
        <f t="shared" ca="1" si="6"/>
        <v>46511</v>
      </c>
      <c r="Q21" s="251" t="str">
        <f t="shared" ca="1" si="0"/>
        <v>May 2027</v>
      </c>
      <c r="R21" s="252">
        <f t="shared" si="2"/>
        <v>3931205.8382936171</v>
      </c>
      <c r="S21" s="254">
        <f t="shared" si="4"/>
        <v>824219.7151303736</v>
      </c>
      <c r="T21" s="254">
        <f t="shared" si="5"/>
        <v>233622.23166666669</v>
      </c>
      <c r="U21" s="252">
        <f t="shared" si="3"/>
        <v>634000</v>
      </c>
      <c r="V21" s="252">
        <f t="shared" si="1"/>
        <v>4355047.785090657</v>
      </c>
      <c r="W21" s="255"/>
      <c r="X21" s="255"/>
      <c r="Y21" s="255"/>
      <c r="Z21" s="255"/>
    </row>
    <row r="22" spans="2:26" ht="34" thickBot="1" x14ac:dyDescent="0.4">
      <c r="B22" s="97" t="str">
        <f>L22</f>
        <v>Interest Strathpine</v>
      </c>
      <c r="C22" s="175">
        <f t="shared" si="7"/>
        <v>7800</v>
      </c>
      <c r="D22" s="176">
        <f>M22*I46/12</f>
        <v>650</v>
      </c>
      <c r="E22" s="49"/>
      <c r="F22" s="122"/>
      <c r="G22" s="157" t="s">
        <v>86</v>
      </c>
      <c r="H22" s="104">
        <f>I17-I28</f>
        <v>15258.730833333333</v>
      </c>
      <c r="I22" s="147"/>
      <c r="K22" s="205"/>
      <c r="L22" s="212" t="s">
        <v>168</v>
      </c>
      <c r="M22" s="225">
        <v>6.5000000000000002E-2</v>
      </c>
      <c r="N22" s="210"/>
      <c r="P22" s="251">
        <f t="shared" ca="1" si="6"/>
        <v>46541</v>
      </c>
      <c r="Q22" s="251" t="str">
        <f t="shared" ca="1" si="0"/>
        <v>June 2027</v>
      </c>
      <c r="R22" s="252">
        <f t="shared" si="2"/>
        <v>3963965.886946064</v>
      </c>
      <c r="S22" s="254">
        <f t="shared" si="4"/>
        <v>836088.21275646007</v>
      </c>
      <c r="T22" s="254">
        <f t="shared" si="5"/>
        <v>248880.96250000002</v>
      </c>
      <c r="U22" s="252">
        <f t="shared" si="3"/>
        <v>634000</v>
      </c>
      <c r="V22" s="252">
        <f t="shared" si="1"/>
        <v>4414935.0622025244</v>
      </c>
      <c r="W22" s="255"/>
      <c r="X22" s="255"/>
      <c r="Y22" s="255"/>
      <c r="Z22" s="255"/>
    </row>
    <row r="23" spans="2:26" ht="33" x14ac:dyDescent="0.35">
      <c r="B23" s="97" t="s">
        <v>123</v>
      </c>
      <c r="C23" s="175">
        <f t="shared" si="7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51">
        <f t="shared" ca="1" si="6"/>
        <v>46571</v>
      </c>
      <c r="Q23" s="251" t="str">
        <f t="shared" ca="1" si="0"/>
        <v>July 2027</v>
      </c>
      <c r="R23" s="252">
        <f t="shared" si="2"/>
        <v>3996998.9360039476</v>
      </c>
      <c r="S23" s="254">
        <f t="shared" si="4"/>
        <v>848055.61452943052</v>
      </c>
      <c r="T23" s="254">
        <f t="shared" si="5"/>
        <v>264139.69333333336</v>
      </c>
      <c r="U23" s="252">
        <f t="shared" si="3"/>
        <v>634000</v>
      </c>
      <c r="V23" s="252">
        <f t="shared" si="1"/>
        <v>4475194.2438667119</v>
      </c>
      <c r="W23" s="255"/>
      <c r="X23" s="255"/>
      <c r="Y23" s="255"/>
      <c r="Z23" s="255"/>
    </row>
    <row r="24" spans="2:26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51">
        <f t="shared" ca="1" si="6"/>
        <v>46601</v>
      </c>
      <c r="Q24" s="251" t="str">
        <f t="shared" ca="1" si="0"/>
        <v>August 2027</v>
      </c>
      <c r="R24" s="252">
        <f t="shared" si="2"/>
        <v>4030307.2604706469</v>
      </c>
      <c r="S24" s="254">
        <f t="shared" si="4"/>
        <v>860122.74465050909</v>
      </c>
      <c r="T24" s="254">
        <f t="shared" si="5"/>
        <v>279398.42416666669</v>
      </c>
      <c r="U24" s="252">
        <f t="shared" si="3"/>
        <v>634000</v>
      </c>
      <c r="V24" s="252">
        <f t="shared" si="1"/>
        <v>4535828.429287822</v>
      </c>
      <c r="W24" s="255"/>
      <c r="X24" s="255"/>
      <c r="Y24" s="255"/>
      <c r="Z24" s="255"/>
    </row>
    <row r="25" spans="2:26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51">
        <f t="shared" ca="1" si="6"/>
        <v>46631</v>
      </c>
      <c r="Q25" s="251" t="str">
        <f t="shared" ca="1" si="0"/>
        <v>September 2027</v>
      </c>
      <c r="R25" s="252">
        <f t="shared" si="2"/>
        <v>4063893.1543079023</v>
      </c>
      <c r="S25" s="254">
        <f t="shared" si="4"/>
        <v>872290.43418926327</v>
      </c>
      <c r="T25" s="254">
        <f t="shared" si="5"/>
        <v>294657.15500000003</v>
      </c>
      <c r="U25" s="252">
        <f t="shared" si="3"/>
        <v>634000</v>
      </c>
      <c r="V25" s="252">
        <f t="shared" si="1"/>
        <v>4596840.7434971659</v>
      </c>
      <c r="W25" s="255"/>
      <c r="X25" s="255"/>
      <c r="Y25" s="255"/>
      <c r="Z25" s="255"/>
    </row>
    <row r="26" spans="2:26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51">
        <f t="shared" ca="1" si="6"/>
        <v>46661</v>
      </c>
      <c r="Q26" s="251" t="str">
        <f t="shared" ca="1" si="0"/>
        <v>October 2027</v>
      </c>
      <c r="R26" s="252">
        <f t="shared" si="2"/>
        <v>4097758.9305938012</v>
      </c>
      <c r="S26" s="254">
        <f t="shared" si="4"/>
        <v>884559.52114084049</v>
      </c>
      <c r="T26" s="254">
        <f t="shared" si="5"/>
        <v>309915.88583333336</v>
      </c>
      <c r="U26" s="252">
        <f t="shared" si="3"/>
        <v>634000</v>
      </c>
      <c r="V26" s="252">
        <f t="shared" si="1"/>
        <v>4658234.3375679748</v>
      </c>
      <c r="W26" s="255"/>
      <c r="X26" s="255"/>
      <c r="Y26" s="255"/>
      <c r="Z26" s="255"/>
    </row>
    <row r="27" spans="2:26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51">
        <f t="shared" ca="1" si="6"/>
        <v>46691</v>
      </c>
      <c r="Q27" s="251" t="str">
        <f t="shared" ca="1" si="0"/>
        <v>October 2027</v>
      </c>
      <c r="R27" s="252">
        <f t="shared" si="2"/>
        <v>4131906.9216820826</v>
      </c>
      <c r="S27" s="254">
        <f t="shared" si="4"/>
        <v>896930.85048368084</v>
      </c>
      <c r="T27" s="254">
        <f t="shared" si="5"/>
        <v>325174.6166666667</v>
      </c>
      <c r="U27" s="252">
        <f t="shared" si="3"/>
        <v>634000</v>
      </c>
      <c r="V27" s="252">
        <f t="shared" si="1"/>
        <v>4720012.3888324294</v>
      </c>
      <c r="W27" s="255"/>
      <c r="X27" s="255"/>
      <c r="Y27" s="255"/>
      <c r="Z27" s="255"/>
    </row>
    <row r="28" spans="2:26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10761.269166666667</v>
      </c>
      <c r="K28" s="205"/>
      <c r="L28" s="211" t="s">
        <v>119</v>
      </c>
      <c r="M28" s="217"/>
      <c r="N28" s="205"/>
      <c r="P28" s="251">
        <f t="shared" ca="1" si="6"/>
        <v>46721</v>
      </c>
      <c r="Q28" s="251" t="str">
        <f t="shared" ca="1" si="0"/>
        <v>November 2027</v>
      </c>
      <c r="R28" s="252">
        <f t="shared" si="2"/>
        <v>4166339.4793627663</v>
      </c>
      <c r="S28" s="254">
        <f t="shared" si="4"/>
        <v>909405.27423771145</v>
      </c>
      <c r="T28" s="254">
        <f t="shared" si="5"/>
        <v>340433.34750000003</v>
      </c>
      <c r="U28" s="252">
        <f t="shared" si="3"/>
        <v>634000</v>
      </c>
      <c r="V28" s="252">
        <f t="shared" si="1"/>
        <v>4782178.1011004783</v>
      </c>
      <c r="W28" s="255"/>
      <c r="X28" s="255"/>
      <c r="Y28" s="255"/>
      <c r="Z28" s="255"/>
    </row>
    <row r="29" spans="2:26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51">
        <f t="shared" ca="1" si="6"/>
        <v>46751</v>
      </c>
      <c r="Q29" s="251" t="str">
        <f t="shared" ca="1" si="0"/>
        <v>December 2027</v>
      </c>
      <c r="R29" s="252">
        <f t="shared" si="2"/>
        <v>4201058.9750241227</v>
      </c>
      <c r="S29" s="254">
        <f t="shared" si="4"/>
        <v>921983.65152302571</v>
      </c>
      <c r="T29" s="254">
        <f t="shared" si="5"/>
        <v>355692.07833333337</v>
      </c>
      <c r="U29" s="252">
        <f t="shared" si="3"/>
        <v>634000</v>
      </c>
      <c r="V29" s="252">
        <f t="shared" si="1"/>
        <v>4844734.7048804816</v>
      </c>
      <c r="W29" s="255"/>
      <c r="X29" s="255"/>
      <c r="Y29" s="255"/>
      <c r="Z29" s="255"/>
    </row>
    <row r="30" spans="2:26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51">
        <f t="shared" ca="1" si="6"/>
        <v>46781</v>
      </c>
      <c r="Q30" s="251" t="str">
        <f t="shared" ca="1" si="0"/>
        <v>January 2028</v>
      </c>
      <c r="R30" s="252">
        <f t="shared" si="2"/>
        <v>4236067.79981599</v>
      </c>
      <c r="S30" s="254">
        <f t="shared" si="4"/>
        <v>934666.84861905093</v>
      </c>
      <c r="T30" s="254">
        <f t="shared" si="5"/>
        <v>370950.8091666667</v>
      </c>
      <c r="U30" s="252">
        <f t="shared" si="3"/>
        <v>634000</v>
      </c>
      <c r="V30" s="252">
        <f t="shared" si="1"/>
        <v>4907685.4576017084</v>
      </c>
      <c r="W30" s="255"/>
      <c r="X30" s="255"/>
      <c r="Y30" s="255"/>
      <c r="Z30" s="255"/>
    </row>
    <row r="31" spans="2:26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51">
        <f t="shared" ca="1" si="6"/>
        <v>46811</v>
      </c>
      <c r="Q31" s="251" t="str">
        <f t="shared" ca="1" si="0"/>
        <v>February 2028</v>
      </c>
      <c r="R31" s="252">
        <f t="shared" si="2"/>
        <v>4271368.3648144566</v>
      </c>
      <c r="S31" s="254">
        <f t="shared" si="4"/>
        <v>947455.73902420967</v>
      </c>
      <c r="T31" s="254">
        <f t="shared" si="5"/>
        <v>386209.54000000004</v>
      </c>
      <c r="U31" s="252">
        <f t="shared" si="3"/>
        <v>634000</v>
      </c>
      <c r="V31" s="252">
        <f t="shared" si="1"/>
        <v>4971033.6438386664</v>
      </c>
      <c r="W31" s="255"/>
      <c r="X31" s="255"/>
      <c r="Y31" s="255"/>
      <c r="Z31" s="255"/>
    </row>
    <row r="32" spans="2:26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51">
        <f t="shared" ca="1" si="6"/>
        <v>46841</v>
      </c>
      <c r="Q32" s="251" t="str">
        <f t="shared" ca="1" si="0"/>
        <v>March 2028</v>
      </c>
      <c r="R32" s="252">
        <f t="shared" si="2"/>
        <v>4306963.10118791</v>
      </c>
      <c r="S32" s="254">
        <f t="shared" si="4"/>
        <v>960351.20351607807</v>
      </c>
      <c r="T32" s="254">
        <f t="shared" si="5"/>
        <v>401468.27083333337</v>
      </c>
      <c r="U32" s="252">
        <f t="shared" si="3"/>
        <v>634000</v>
      </c>
      <c r="V32" s="252">
        <f t="shared" si="1"/>
        <v>5034782.5755373212</v>
      </c>
      <c r="W32" s="255"/>
      <c r="X32" s="255"/>
      <c r="Y32" s="255"/>
      <c r="Z32" s="255"/>
    </row>
    <row r="33" spans="2:26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51">
        <f t="shared" ca="1" si="6"/>
        <v>46871</v>
      </c>
      <c r="Q33" s="251" t="str">
        <f t="shared" ca="1" si="0"/>
        <v>April 2028</v>
      </c>
      <c r="R33" s="252">
        <f t="shared" si="2"/>
        <v>4342854.4603644758</v>
      </c>
      <c r="S33" s="254">
        <f t="shared" si="4"/>
        <v>973354.13021204539</v>
      </c>
      <c r="T33" s="254">
        <f t="shared" si="5"/>
        <v>416727.00166666671</v>
      </c>
      <c r="U33" s="252">
        <f t="shared" si="3"/>
        <v>634000</v>
      </c>
      <c r="V33" s="252">
        <f t="shared" si="1"/>
        <v>5098935.5922431881</v>
      </c>
      <c r="W33" s="255"/>
      <c r="X33" s="255"/>
      <c r="Y33" s="255"/>
      <c r="Z33" s="255"/>
    </row>
    <row r="34" spans="2:26" ht="33" x14ac:dyDescent="0.35">
      <c r="B34" s="160" t="s">
        <v>46</v>
      </c>
      <c r="C34" s="22"/>
      <c r="D34" s="107"/>
      <c r="E34" s="179">
        <f>M40</f>
        <v>20000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51">
        <f t="shared" ca="1" si="6"/>
        <v>46901</v>
      </c>
      <c r="Q34" s="251" t="str">
        <f t="shared" ca="1" si="0"/>
        <v>May 2028</v>
      </c>
      <c r="R34" s="252">
        <f t="shared" si="2"/>
        <v>4379044.9142008461</v>
      </c>
      <c r="S34" s="254">
        <f t="shared" si="4"/>
        <v>986465.41463047906</v>
      </c>
      <c r="T34" s="254">
        <f t="shared" si="5"/>
        <v>431985.73250000004</v>
      </c>
      <c r="U34" s="252">
        <f t="shared" si="3"/>
        <v>634000</v>
      </c>
      <c r="V34" s="252">
        <f t="shared" si="1"/>
        <v>5163496.0613313252</v>
      </c>
      <c r="W34" s="255"/>
      <c r="X34" s="255"/>
      <c r="Y34" s="255"/>
      <c r="Z34" s="255"/>
    </row>
    <row r="35" spans="2:26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51">
        <f t="shared" ca="1" si="6"/>
        <v>46931</v>
      </c>
      <c r="Q35" s="251" t="str">
        <f t="shared" ca="1" si="0"/>
        <v>June 2028</v>
      </c>
      <c r="R35" s="252">
        <f t="shared" si="2"/>
        <v>4415536.95515252</v>
      </c>
      <c r="S35" s="254">
        <f t="shared" si="4"/>
        <v>999685.95975239971</v>
      </c>
      <c r="T35" s="254">
        <f t="shared" si="5"/>
        <v>447244.46333333338</v>
      </c>
      <c r="U35" s="252">
        <f t="shared" si="3"/>
        <v>634000</v>
      </c>
      <c r="V35" s="252">
        <f t="shared" si="1"/>
        <v>5228467.3782382533</v>
      </c>
      <c r="W35" s="255"/>
      <c r="X35" s="255"/>
      <c r="Y35" s="255"/>
      <c r="Z35" s="255"/>
    </row>
    <row r="36" spans="2:26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51">
        <f t="shared" ca="1" si="6"/>
        <v>46961</v>
      </c>
      <c r="Q36" s="251" t="str">
        <f t="shared" ca="1" si="0"/>
        <v>July 2028</v>
      </c>
      <c r="R36" s="252">
        <f t="shared" si="2"/>
        <v>4452333.0964454571</v>
      </c>
      <c r="S36" s="254">
        <f t="shared" si="4"/>
        <v>1013016.6760836696</v>
      </c>
      <c r="T36" s="254">
        <f t="shared" si="5"/>
        <v>462503.19416666671</v>
      </c>
      <c r="U36" s="252">
        <f t="shared" si="3"/>
        <v>634000</v>
      </c>
      <c r="V36" s="252">
        <f t="shared" si="1"/>
        <v>5293852.9666957939</v>
      </c>
      <c r="W36" s="255"/>
      <c r="X36" s="255"/>
      <c r="Y36" s="255"/>
      <c r="Z36" s="255"/>
    </row>
    <row r="37" spans="2:26" ht="31" x14ac:dyDescent="0.3">
      <c r="B37" s="160" t="s">
        <v>51</v>
      </c>
      <c r="C37" s="22"/>
      <c r="D37" s="107"/>
      <c r="E37" s="179">
        <f>M43</f>
        <v>171000</v>
      </c>
      <c r="G37" s="97" t="s">
        <v>61</v>
      </c>
      <c r="H37" s="22"/>
      <c r="I37" s="184"/>
      <c r="K37" s="205"/>
      <c r="L37" s="206"/>
      <c r="M37" s="205"/>
      <c r="N37" s="210"/>
      <c r="P37" s="251">
        <f t="shared" ca="1" si="6"/>
        <v>46991</v>
      </c>
      <c r="Q37" s="251" t="str">
        <f t="shared" ca="1" si="0"/>
        <v>August 2028</v>
      </c>
      <c r="R37" s="252">
        <f t="shared" si="2"/>
        <v>4489435.8722491693</v>
      </c>
      <c r="S37" s="254">
        <f t="shared" si="4"/>
        <v>1026458.4817177003</v>
      </c>
      <c r="T37" s="254">
        <f t="shared" si="5"/>
        <v>477761.92500000005</v>
      </c>
      <c r="U37" s="252">
        <f t="shared" si="3"/>
        <v>634000</v>
      </c>
      <c r="V37" s="252">
        <f t="shared" si="1"/>
        <v>5359656.2789668692</v>
      </c>
      <c r="W37" s="255"/>
      <c r="X37" s="255"/>
      <c r="Y37" s="255"/>
      <c r="Z37" s="255"/>
    </row>
    <row r="38" spans="2:26" ht="29" customHeight="1" thickBot="1" x14ac:dyDescent="0.4">
      <c r="B38" s="160" t="s">
        <v>52</v>
      </c>
      <c r="C38" s="22"/>
      <c r="D38" s="107"/>
      <c r="E38" s="179">
        <f>M44</f>
        <v>147000</v>
      </c>
      <c r="G38" s="97"/>
      <c r="H38" s="22"/>
      <c r="I38" s="185"/>
      <c r="K38" s="205"/>
      <c r="L38" s="215"/>
      <c r="M38" s="216"/>
      <c r="N38" s="210"/>
      <c r="P38" s="251">
        <f t="shared" ca="1" si="6"/>
        <v>47021</v>
      </c>
      <c r="Q38" s="251" t="str">
        <f t="shared" ca="1" si="0"/>
        <v>September 2028</v>
      </c>
      <c r="R38" s="252">
        <f t="shared" si="2"/>
        <v>4526847.8378512459</v>
      </c>
      <c r="S38" s="254">
        <f t="shared" si="4"/>
        <v>1040012.3023986811</v>
      </c>
      <c r="T38" s="254">
        <f t="shared" si="5"/>
        <v>493020.65583333338</v>
      </c>
      <c r="U38" s="252">
        <f t="shared" si="3"/>
        <v>634000</v>
      </c>
      <c r="V38" s="252">
        <f t="shared" si="1"/>
        <v>5425880.7960832603</v>
      </c>
      <c r="W38" s="255"/>
      <c r="X38" s="255"/>
      <c r="Y38" s="255"/>
      <c r="Z38" s="255"/>
    </row>
    <row r="39" spans="2:26" ht="33" x14ac:dyDescent="0.35">
      <c r="B39" s="160" t="s">
        <v>54</v>
      </c>
      <c r="C39" s="22"/>
      <c r="D39" s="107"/>
      <c r="E39" s="179">
        <f>M45</f>
        <v>350000</v>
      </c>
      <c r="G39" s="97"/>
      <c r="H39" s="22"/>
      <c r="I39" s="185"/>
      <c r="K39" s="205"/>
      <c r="L39" s="241" t="s">
        <v>49</v>
      </c>
      <c r="M39" s="243"/>
      <c r="N39" s="210"/>
      <c r="P39" s="251">
        <f t="shared" ca="1" si="6"/>
        <v>47051</v>
      </c>
      <c r="Q39" s="251" t="str">
        <f t="shared" ref="Q39:Q66" ca="1" si="8">TEXT($P39,"MMMM")&amp;TEXT($P39," YYYY")</f>
        <v>October 2028</v>
      </c>
      <c r="R39" s="252">
        <f t="shared" si="2"/>
        <v>4564571.5698333392</v>
      </c>
      <c r="S39" s="254">
        <f t="shared" si="4"/>
        <v>1053679.0715853367</v>
      </c>
      <c r="T39" s="254">
        <f t="shared" si="5"/>
        <v>508279.38666666672</v>
      </c>
      <c r="U39" s="252">
        <f t="shared" si="3"/>
        <v>634000</v>
      </c>
      <c r="V39" s="252">
        <f t="shared" ref="V39:V66" si="9">SUM(R39:T39)-U39</f>
        <v>5492530.0280853426</v>
      </c>
      <c r="W39" s="255"/>
      <c r="X39" s="255"/>
      <c r="Y39" s="255"/>
      <c r="Z39" s="255"/>
    </row>
    <row r="40" spans="2:26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20000</v>
      </c>
      <c r="N40" s="210"/>
      <c r="P40" s="251">
        <f t="shared" ca="1" si="6"/>
        <v>47081</v>
      </c>
      <c r="Q40" s="251" t="str">
        <f t="shared" ca="1" si="8"/>
        <v>November 2028</v>
      </c>
      <c r="R40" s="252">
        <f t="shared" ref="R40:R66" si="10">($T$1/12+1)*R39</f>
        <v>4602609.6662486168</v>
      </c>
      <c r="S40" s="254">
        <f t="shared" si="4"/>
        <v>1067459.7305152144</v>
      </c>
      <c r="T40" s="254">
        <f t="shared" si="5"/>
        <v>523538.11750000005</v>
      </c>
      <c r="U40" s="252">
        <f t="shared" si="3"/>
        <v>634000</v>
      </c>
      <c r="V40" s="252">
        <f t="shared" si="9"/>
        <v>5559607.5142638311</v>
      </c>
      <c r="W40" s="255"/>
      <c r="X40" s="255"/>
      <c r="Y40" s="255"/>
      <c r="Z40" s="255"/>
    </row>
    <row r="41" spans="2:26" ht="33" x14ac:dyDescent="0.35">
      <c r="B41" s="160" t="s">
        <v>65</v>
      </c>
      <c r="C41" s="22"/>
      <c r="D41" s="107"/>
      <c r="E41" s="179">
        <f>M47</f>
        <v>200000</v>
      </c>
      <c r="G41" s="97"/>
      <c r="H41" s="22"/>
      <c r="I41" s="185"/>
      <c r="K41" s="205"/>
      <c r="L41" s="212" t="s">
        <v>78</v>
      </c>
      <c r="M41" s="223"/>
      <c r="N41" s="210"/>
      <c r="P41" s="251">
        <f t="shared" ca="1" si="6"/>
        <v>47111</v>
      </c>
      <c r="Q41" s="251" t="str">
        <f t="shared" ca="1" si="8"/>
        <v>December 2028</v>
      </c>
      <c r="R41" s="252">
        <f t="shared" si="10"/>
        <v>4640964.7468006881</v>
      </c>
      <c r="S41" s="254">
        <f t="shared" si="4"/>
        <v>1081355.2282695079</v>
      </c>
      <c r="T41" s="254">
        <f t="shared" si="5"/>
        <v>538796.84833333339</v>
      </c>
      <c r="U41" s="252">
        <f t="shared" si="3"/>
        <v>634000</v>
      </c>
      <c r="V41" s="252">
        <f t="shared" si="9"/>
        <v>5627116.8234035298</v>
      </c>
      <c r="W41" s="255"/>
      <c r="X41" s="255"/>
      <c r="Y41" s="255"/>
      <c r="Z41" s="255"/>
    </row>
    <row r="42" spans="2:26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51">
        <f t="shared" ca="1" si="6"/>
        <v>47141</v>
      </c>
      <c r="Q42" s="251" t="str">
        <f t="shared" ca="1" si="8"/>
        <v>January 2029</v>
      </c>
      <c r="R42" s="252">
        <f t="shared" si="10"/>
        <v>4679639.4530240269</v>
      </c>
      <c r="S42" s="254">
        <f t="shared" si="4"/>
        <v>1095366.5218384203</v>
      </c>
      <c r="T42" s="254">
        <f t="shared" si="5"/>
        <v>554055.57916666672</v>
      </c>
      <c r="U42" s="252">
        <f t="shared" si="3"/>
        <v>634000</v>
      </c>
      <c r="V42" s="252">
        <f t="shared" si="9"/>
        <v>5695061.5540291136</v>
      </c>
      <c r="W42" s="255"/>
      <c r="X42" s="255"/>
      <c r="Y42" s="255"/>
      <c r="Z42" s="255"/>
    </row>
    <row r="43" spans="2:26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171000</v>
      </c>
      <c r="N43" s="210"/>
      <c r="P43" s="251">
        <f t="shared" ca="1" si="6"/>
        <v>47171</v>
      </c>
      <c r="Q43" s="251" t="str">
        <f t="shared" ca="1" si="8"/>
        <v>February 2029</v>
      </c>
      <c r="R43" s="252">
        <f t="shared" si="10"/>
        <v>4718636.448465894</v>
      </c>
      <c r="S43" s="254">
        <f t="shared" si="4"/>
        <v>1109494.5761870737</v>
      </c>
      <c r="T43" s="254">
        <f t="shared" si="5"/>
        <v>569314.31000000006</v>
      </c>
      <c r="U43" s="252">
        <f t="shared" si="3"/>
        <v>634000</v>
      </c>
      <c r="V43" s="252">
        <f t="shared" si="9"/>
        <v>5763445.3346529678</v>
      </c>
      <c r="W43" s="255"/>
      <c r="X43" s="255"/>
      <c r="Y43" s="255"/>
      <c r="Z43" s="255"/>
    </row>
    <row r="44" spans="2:26" ht="33" x14ac:dyDescent="0.35">
      <c r="B44" s="160" t="s">
        <v>2</v>
      </c>
      <c r="D44" s="182">
        <f>E44-I44</f>
        <v>1900000</v>
      </c>
      <c r="E44" s="179">
        <f>M50</f>
        <v>1900000</v>
      </c>
      <c r="G44" s="97" t="s">
        <v>6</v>
      </c>
      <c r="H44" s="22"/>
      <c r="I44" s="109">
        <f>M62</f>
        <v>0</v>
      </c>
      <c r="K44" s="205"/>
      <c r="L44" s="212" t="s">
        <v>80</v>
      </c>
      <c r="M44" s="223">
        <v>147000</v>
      </c>
      <c r="N44" s="210"/>
      <c r="P44" s="251">
        <f t="shared" ca="1" si="6"/>
        <v>47201</v>
      </c>
      <c r="Q44" s="251" t="str">
        <f t="shared" ca="1" si="8"/>
        <v>March 2029</v>
      </c>
      <c r="R44" s="252">
        <f t="shared" si="10"/>
        <v>4757958.4188697767</v>
      </c>
      <c r="S44" s="254">
        <f t="shared" si="4"/>
        <v>1123740.364321966</v>
      </c>
      <c r="T44" s="254">
        <f t="shared" si="5"/>
        <v>584573.04083333339</v>
      </c>
      <c r="U44" s="252">
        <f t="shared" si="3"/>
        <v>634000</v>
      </c>
      <c r="V44" s="252">
        <f t="shared" si="9"/>
        <v>5832271.8240250759</v>
      </c>
      <c r="W44" s="255"/>
      <c r="X44" s="255"/>
      <c r="Y44" s="255"/>
      <c r="Z44" s="255"/>
    </row>
    <row r="45" spans="2:26" ht="33" x14ac:dyDescent="0.35">
      <c r="B45" s="160" t="str">
        <f>L51</f>
        <v>Investment 1 - Forest Lake value</v>
      </c>
      <c r="D45" s="182">
        <f>E45-I45</f>
        <v>438000</v>
      </c>
      <c r="E45" s="179">
        <f>M51</f>
        <v>950000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350000</v>
      </c>
      <c r="N45" s="210"/>
      <c r="P45" s="251">
        <f t="shared" ca="1" si="6"/>
        <v>47231</v>
      </c>
      <c r="Q45" s="251" t="str">
        <f t="shared" ca="1" si="8"/>
        <v>April 2029</v>
      </c>
      <c r="R45" s="252">
        <f t="shared" si="10"/>
        <v>4797608.0723603582</v>
      </c>
      <c r="S45" s="254">
        <f t="shared" si="4"/>
        <v>1138104.8673579823</v>
      </c>
      <c r="T45" s="254">
        <f t="shared" si="5"/>
        <v>599831.77166666673</v>
      </c>
      <c r="U45" s="252">
        <f t="shared" si="3"/>
        <v>634000</v>
      </c>
      <c r="V45" s="252">
        <f t="shared" si="9"/>
        <v>5901544.711385007</v>
      </c>
      <c r="W45" s="255"/>
      <c r="X45" s="255"/>
      <c r="Y45" s="255"/>
      <c r="Z45" s="255"/>
    </row>
    <row r="46" spans="2:26" ht="33" x14ac:dyDescent="0.35">
      <c r="B46" s="160" t="str">
        <f>L52</f>
        <v>Investment 2 - Strathpine value</v>
      </c>
      <c r="D46" s="182">
        <f>E46-I46</f>
        <v>530000</v>
      </c>
      <c r="E46" s="179">
        <f>M52</f>
        <v>650000</v>
      </c>
      <c r="G46" s="97" t="s">
        <v>4</v>
      </c>
      <c r="H46" s="22"/>
      <c r="I46" s="109">
        <f>M65</f>
        <v>120000</v>
      </c>
      <c r="K46" s="205"/>
      <c r="L46" s="212"/>
      <c r="M46" s="213"/>
      <c r="N46" s="210"/>
      <c r="P46" s="251">
        <f t="shared" ca="1" si="6"/>
        <v>47261</v>
      </c>
      <c r="Q46" s="251" t="str">
        <f t="shared" ca="1" si="8"/>
        <v>May 2029</v>
      </c>
      <c r="R46" s="252">
        <f t="shared" si="10"/>
        <v>4837588.139630028</v>
      </c>
      <c r="S46" s="254">
        <f t="shared" si="4"/>
        <v>1152589.0745859654</v>
      </c>
      <c r="T46" s="254">
        <f t="shared" si="5"/>
        <v>615090.50250000006</v>
      </c>
      <c r="U46" s="252">
        <f t="shared" si="3"/>
        <v>634000</v>
      </c>
      <c r="V46" s="252">
        <f t="shared" si="9"/>
        <v>5971267.7167159943</v>
      </c>
      <c r="W46" s="255"/>
      <c r="X46" s="255"/>
      <c r="Y46" s="255"/>
      <c r="Z46" s="255"/>
    </row>
    <row r="47" spans="2:26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200000</v>
      </c>
      <c r="N47" s="210"/>
      <c r="P47" s="251">
        <f t="shared" ca="1" si="6"/>
        <v>47291</v>
      </c>
      <c r="Q47" s="251" t="str">
        <f t="shared" ca="1" si="8"/>
        <v>June 2029</v>
      </c>
      <c r="R47" s="252">
        <f t="shared" si="10"/>
        <v>4877901.3741269447</v>
      </c>
      <c r="S47" s="254">
        <f t="shared" si="4"/>
        <v>1167193.9835408484</v>
      </c>
      <c r="T47" s="254">
        <f t="shared" si="5"/>
        <v>630349.2333333334</v>
      </c>
      <c r="U47" s="252">
        <f t="shared" si="3"/>
        <v>634000</v>
      </c>
      <c r="V47" s="252">
        <f t="shared" si="9"/>
        <v>6041444.591001126</v>
      </c>
      <c r="W47" s="255"/>
      <c r="X47" s="255"/>
      <c r="Y47" s="255"/>
      <c r="Z47" s="255"/>
    </row>
    <row r="48" spans="2:26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51">
        <f t="shared" ca="1" si="6"/>
        <v>47321</v>
      </c>
      <c r="Q48" s="251" t="str">
        <f t="shared" ca="1" si="8"/>
        <v>July 2029</v>
      </c>
      <c r="R48" s="252">
        <f t="shared" si="10"/>
        <v>4918550.5522446688</v>
      </c>
      <c r="S48" s="254">
        <f t="shared" si="4"/>
        <v>1181920.6000703555</v>
      </c>
      <c r="T48" s="254">
        <f t="shared" si="5"/>
        <v>645607.96416666673</v>
      </c>
      <c r="U48" s="252">
        <f t="shared" si="3"/>
        <v>634000</v>
      </c>
      <c r="V48" s="252">
        <f t="shared" si="9"/>
        <v>6112079.1164816907</v>
      </c>
      <c r="W48" s="255"/>
      <c r="X48" s="255"/>
      <c r="Y48" s="255"/>
      <c r="Z48" s="255"/>
    </row>
    <row r="49" spans="2:26" ht="34" thickBot="1" x14ac:dyDescent="0.4">
      <c r="B49" s="128" t="s">
        <v>156</v>
      </c>
      <c r="C49" s="108"/>
      <c r="D49" s="107"/>
      <c r="E49" s="148">
        <f>SUM(E34:E48)</f>
        <v>4588000</v>
      </c>
      <c r="G49" s="63"/>
      <c r="H49" s="38"/>
      <c r="I49" s="53"/>
      <c r="K49" s="205"/>
      <c r="L49" s="212"/>
      <c r="M49" s="213"/>
      <c r="N49" s="210"/>
      <c r="P49" s="251">
        <f t="shared" ca="1" si="6"/>
        <v>47351</v>
      </c>
      <c r="Q49" s="251" t="str">
        <f t="shared" ca="1" si="8"/>
        <v>August 2029</v>
      </c>
      <c r="R49" s="252">
        <f t="shared" si="10"/>
        <v>4959538.4735133741</v>
      </c>
      <c r="S49" s="254">
        <f t="shared" si="4"/>
        <v>1196769.9384042751</v>
      </c>
      <c r="T49" s="254">
        <f t="shared" si="5"/>
        <v>660866.69500000007</v>
      </c>
      <c r="U49" s="252">
        <f t="shared" si="3"/>
        <v>634000</v>
      </c>
      <c r="V49" s="252">
        <f t="shared" si="9"/>
        <v>6183175.1069176495</v>
      </c>
      <c r="W49" s="255"/>
      <c r="X49" s="255"/>
      <c r="Y49" s="255"/>
      <c r="Z49" s="255"/>
    </row>
    <row r="50" spans="2:26" s="17" customFormat="1" ht="34" thickBot="1" x14ac:dyDescent="0.4">
      <c r="B50" s="186" t="s">
        <v>60</v>
      </c>
      <c r="C50" s="187"/>
      <c r="D50" s="187"/>
      <c r="E50" s="188">
        <f>SUM(E49-E42-E41)</f>
        <v>4188000</v>
      </c>
      <c r="G50" s="64" t="s">
        <v>59</v>
      </c>
      <c r="H50" s="51"/>
      <c r="I50" s="52">
        <f>SUM(I35:I49)</f>
        <v>634000</v>
      </c>
      <c r="K50" s="206"/>
      <c r="L50" s="212" t="s">
        <v>82</v>
      </c>
      <c r="M50" s="223">
        <v>1900000</v>
      </c>
      <c r="N50" s="210"/>
      <c r="O50" s="18"/>
      <c r="P50" s="251">
        <f t="shared" ca="1" si="6"/>
        <v>47381</v>
      </c>
      <c r="Q50" s="251" t="str">
        <f t="shared" ca="1" si="8"/>
        <v>September 2029</v>
      </c>
      <c r="R50" s="252">
        <f t="shared" si="10"/>
        <v>5000867.9607926523</v>
      </c>
      <c r="S50" s="254">
        <f t="shared" si="4"/>
        <v>1211743.0212243106</v>
      </c>
      <c r="T50" s="254">
        <f t="shared" si="5"/>
        <v>676125.4258333334</v>
      </c>
      <c r="U50" s="252">
        <f t="shared" si="3"/>
        <v>634000</v>
      </c>
      <c r="V50" s="252">
        <f t="shared" si="9"/>
        <v>6254736.4078502962</v>
      </c>
      <c r="W50" s="255"/>
      <c r="X50" s="256"/>
      <c r="Y50" s="256"/>
      <c r="Z50" s="256"/>
    </row>
    <row r="51" spans="2:26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51">
        <f t="shared" ca="1" si="6"/>
        <v>47411</v>
      </c>
      <c r="Q51" s="251" t="str">
        <f t="shared" ca="1" si="8"/>
        <v>October 2029</v>
      </c>
      <c r="R51" s="252">
        <f t="shared" si="10"/>
        <v>5042541.8604659243</v>
      </c>
      <c r="S51" s="254">
        <f t="shared" si="4"/>
        <v>1226840.8797345131</v>
      </c>
      <c r="T51" s="254">
        <f t="shared" si="5"/>
        <v>691384.15666666673</v>
      </c>
      <c r="U51" s="252">
        <f t="shared" si="3"/>
        <v>634000</v>
      </c>
      <c r="V51" s="252">
        <f t="shared" si="9"/>
        <v>6326766.8968671039</v>
      </c>
      <c r="W51" s="255"/>
      <c r="X51" s="256"/>
      <c r="Y51" s="256"/>
      <c r="Z51" s="256"/>
    </row>
    <row r="52" spans="2:26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51">
        <f t="shared" ca="1" si="6"/>
        <v>47441</v>
      </c>
      <c r="Q52" s="251" t="str">
        <f t="shared" ca="1" si="8"/>
        <v>November 2029</v>
      </c>
      <c r="R52" s="252">
        <f t="shared" si="10"/>
        <v>5084563.0426364737</v>
      </c>
      <c r="S52" s="254">
        <f t="shared" si="4"/>
        <v>1242064.5537323006</v>
      </c>
      <c r="T52" s="254">
        <f t="shared" si="5"/>
        <v>706642.88750000007</v>
      </c>
      <c r="U52" s="252">
        <f t="shared" si="3"/>
        <v>634000</v>
      </c>
      <c r="V52" s="252">
        <f t="shared" si="9"/>
        <v>6399270.483868775</v>
      </c>
      <c r="W52" s="255"/>
      <c r="X52" s="256"/>
      <c r="Y52" s="256"/>
      <c r="Z52" s="256"/>
    </row>
    <row r="53" spans="2:26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51">
        <f t="shared" ca="1" si="6"/>
        <v>47471</v>
      </c>
      <c r="Q53" s="251" t="str">
        <f t="shared" ca="1" si="8"/>
        <v>December 2029</v>
      </c>
      <c r="R53" s="252">
        <f t="shared" si="10"/>
        <v>5126934.4013251103</v>
      </c>
      <c r="S53" s="254">
        <f t="shared" si="4"/>
        <v>1257415.0916800697</v>
      </c>
      <c r="T53" s="254">
        <f t="shared" si="5"/>
        <v>721901.6183333334</v>
      </c>
      <c r="U53" s="252">
        <f t="shared" si="3"/>
        <v>634000</v>
      </c>
      <c r="V53" s="252">
        <f t="shared" si="9"/>
        <v>6472251.111338513</v>
      </c>
      <c r="W53" s="255"/>
      <c r="X53" s="256"/>
      <c r="Y53" s="256"/>
      <c r="Z53" s="256"/>
    </row>
    <row r="54" spans="2:26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51">
        <f t="shared" ca="1" si="6"/>
        <v>47501</v>
      </c>
      <c r="Q54" s="251" t="str">
        <f t="shared" ca="1" si="8"/>
        <v>January 2030</v>
      </c>
      <c r="R54" s="252">
        <f t="shared" si="10"/>
        <v>5169658.8546694862</v>
      </c>
      <c r="S54" s="254">
        <f t="shared" si="4"/>
        <v>1272893.5507774036</v>
      </c>
      <c r="T54" s="254">
        <f t="shared" si="5"/>
        <v>737160.34916666674</v>
      </c>
      <c r="U54" s="252">
        <f t="shared" si="3"/>
        <v>634000</v>
      </c>
      <c r="V54" s="252">
        <f t="shared" si="9"/>
        <v>6545712.7546135569</v>
      </c>
      <c r="W54" s="255"/>
      <c r="X54" s="256"/>
      <c r="Y54" s="256"/>
      <c r="Z54" s="256"/>
    </row>
    <row r="55" spans="2:26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51">
        <f t="shared" ca="1" si="6"/>
        <v>47531</v>
      </c>
      <c r="Q55" s="251" t="str">
        <f t="shared" ca="1" si="8"/>
        <v>February 2030</v>
      </c>
      <c r="R55" s="252">
        <f t="shared" si="10"/>
        <v>5212739.3451250652</v>
      </c>
      <c r="S55" s="254">
        <f t="shared" si="4"/>
        <v>1288500.997033882</v>
      </c>
      <c r="T55" s="254">
        <f t="shared" si="5"/>
        <v>752419.08000000007</v>
      </c>
      <c r="U55" s="252">
        <f t="shared" si="3"/>
        <v>634000</v>
      </c>
      <c r="V55" s="252">
        <f t="shared" si="9"/>
        <v>6619659.4221589472</v>
      </c>
      <c r="W55" s="255"/>
      <c r="X55" s="256"/>
      <c r="Y55" s="256"/>
      <c r="Z55" s="256"/>
    </row>
    <row r="56" spans="2:26" s="17" customFormat="1" ht="46" thickBot="1" x14ac:dyDescent="0.5">
      <c r="B56" s="197" t="s">
        <v>160</v>
      </c>
      <c r="C56" s="198"/>
      <c r="D56" s="199">
        <f>E50-I50</f>
        <v>3554000</v>
      </c>
      <c r="E56" s="200"/>
      <c r="F56" s="201"/>
      <c r="G56" s="202" t="s">
        <v>158</v>
      </c>
      <c r="H56" s="203" t="s">
        <v>114</v>
      </c>
      <c r="I56" s="204">
        <f>I17-I28</f>
        <v>15258.730833333333</v>
      </c>
      <c r="J56" s="18"/>
      <c r="K56" s="205"/>
      <c r="L56" s="241" t="s">
        <v>87</v>
      </c>
      <c r="M56" s="243"/>
      <c r="N56" s="205"/>
      <c r="O56" s="18"/>
      <c r="P56" s="251">
        <f t="shared" ca="1" si="6"/>
        <v>47561</v>
      </c>
      <c r="Q56" s="251" t="str">
        <f t="shared" ca="1" si="8"/>
        <v>March 2030</v>
      </c>
      <c r="R56" s="252">
        <f t="shared" si="10"/>
        <v>5256178.8396677738</v>
      </c>
      <c r="S56" s="254">
        <f t="shared" si="4"/>
        <v>1304238.5053424975</v>
      </c>
      <c r="T56" s="254">
        <f t="shared" si="5"/>
        <v>767677.81083333341</v>
      </c>
      <c r="U56" s="252">
        <f t="shared" si="3"/>
        <v>634000</v>
      </c>
      <c r="V56" s="252">
        <f t="shared" si="9"/>
        <v>6694095.1558436044</v>
      </c>
      <c r="W56" s="255"/>
      <c r="X56" s="256"/>
      <c r="Y56" s="256"/>
      <c r="Z56" s="256"/>
    </row>
    <row r="57" spans="2:26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51">
        <f t="shared" ca="1" si="6"/>
        <v>47591</v>
      </c>
      <c r="Q57" s="251" t="str">
        <f t="shared" ca="1" si="8"/>
        <v>April 2030</v>
      </c>
      <c r="R57" s="252">
        <f t="shared" si="10"/>
        <v>5299980.3299983386</v>
      </c>
      <c r="S57" s="254">
        <f t="shared" si="4"/>
        <v>1320107.159553685</v>
      </c>
      <c r="T57" s="254">
        <f t="shared" si="5"/>
        <v>782936.54166666674</v>
      </c>
      <c r="U57" s="252">
        <f t="shared" si="3"/>
        <v>634000</v>
      </c>
      <c r="V57" s="252">
        <f t="shared" si="9"/>
        <v>6769024.0312186908</v>
      </c>
      <c r="W57" s="255"/>
      <c r="X57" s="255"/>
      <c r="Y57" s="255"/>
      <c r="Z57" s="255"/>
    </row>
    <row r="58" spans="2:26" ht="33" x14ac:dyDescent="0.35">
      <c r="B58" s="135" t="s">
        <v>159</v>
      </c>
      <c r="C58" s="130"/>
      <c r="D58" s="101">
        <f>E49-I50</f>
        <v>3954000</v>
      </c>
      <c r="E58" s="130"/>
      <c r="G58" s="115" t="s">
        <v>113</v>
      </c>
      <c r="H58" s="115" t="s">
        <v>115</v>
      </c>
      <c r="I58" s="189">
        <f>I56*12</f>
        <v>183104.77</v>
      </c>
      <c r="K58" s="205"/>
      <c r="L58" s="212" t="s">
        <v>45</v>
      </c>
      <c r="M58" s="223">
        <v>3000</v>
      </c>
      <c r="N58" s="205"/>
      <c r="P58" s="251">
        <f t="shared" ca="1" si="6"/>
        <v>47621</v>
      </c>
      <c r="Q58" s="251" t="str">
        <f t="shared" ca="1" si="8"/>
        <v>May 2030</v>
      </c>
      <c r="R58" s="252">
        <f t="shared" si="10"/>
        <v>5344146.8327483246</v>
      </c>
      <c r="S58" s="254">
        <f t="shared" si="4"/>
        <v>1336108.0525499657</v>
      </c>
      <c r="T58" s="254">
        <f t="shared" si="5"/>
        <v>798195.27250000008</v>
      </c>
      <c r="U58" s="252">
        <f t="shared" si="3"/>
        <v>634000</v>
      </c>
      <c r="V58" s="252">
        <f t="shared" si="9"/>
        <v>6844450.1577982903</v>
      </c>
      <c r="W58" s="255"/>
      <c r="X58" s="255"/>
      <c r="Y58" s="255"/>
      <c r="Z58" s="255"/>
    </row>
    <row r="59" spans="2:26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51">
        <f t="shared" ca="1" si="6"/>
        <v>47651</v>
      </c>
      <c r="Q59" s="251" t="str">
        <f t="shared" ca="1" si="8"/>
        <v>June 2030</v>
      </c>
      <c r="R59" s="252">
        <f t="shared" si="10"/>
        <v>5388681.3896878939</v>
      </c>
      <c r="S59" s="254">
        <f t="shared" si="4"/>
        <v>1352242.2863212153</v>
      </c>
      <c r="T59" s="254">
        <f t="shared" si="5"/>
        <v>813454.00333333341</v>
      </c>
      <c r="U59" s="252">
        <f t="shared" si="3"/>
        <v>634000</v>
      </c>
      <c r="V59" s="252">
        <f t="shared" si="9"/>
        <v>6920377.6793424431</v>
      </c>
      <c r="W59" s="255"/>
      <c r="X59" s="256"/>
      <c r="Y59" s="256"/>
      <c r="Z59" s="256"/>
    </row>
    <row r="60" spans="2:26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51">
        <f t="shared" ca="1" si="6"/>
        <v>47681</v>
      </c>
      <c r="Q60" s="251" t="str">
        <f t="shared" ca="1" si="8"/>
        <v>July 2030</v>
      </c>
      <c r="R60" s="252">
        <f t="shared" si="10"/>
        <v>5433587.0679352926</v>
      </c>
      <c r="S60" s="254">
        <f t="shared" si="4"/>
        <v>1368510.9720405587</v>
      </c>
      <c r="T60" s="254">
        <f t="shared" si="5"/>
        <v>828712.73416666675</v>
      </c>
      <c r="U60" s="252">
        <f t="shared" si="3"/>
        <v>634000</v>
      </c>
      <c r="V60" s="252">
        <f t="shared" si="9"/>
        <v>6996810.7741425186</v>
      </c>
      <c r="W60" s="255"/>
      <c r="X60" s="256"/>
      <c r="Y60" s="256"/>
      <c r="Z60" s="256"/>
    </row>
    <row r="61" spans="2:26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51">
        <f t="shared" ca="1" si="6"/>
        <v>47711</v>
      </c>
      <c r="Q61" s="251" t="str">
        <f t="shared" ca="1" si="8"/>
        <v>August 2030</v>
      </c>
      <c r="R61" s="252">
        <f t="shared" si="10"/>
        <v>5478866.9601680869</v>
      </c>
      <c r="S61" s="254">
        <f t="shared" si="4"/>
        <v>1384915.2301408967</v>
      </c>
      <c r="T61" s="254">
        <f t="shared" si="5"/>
        <v>843971.46500000008</v>
      </c>
      <c r="U61" s="252">
        <f t="shared" si="3"/>
        <v>634000</v>
      </c>
      <c r="V61" s="252">
        <f t="shared" si="9"/>
        <v>7073753.6553089833</v>
      </c>
      <c r="W61" s="255"/>
      <c r="X61" s="256"/>
      <c r="Y61" s="256"/>
      <c r="Z61" s="256"/>
    </row>
    <row r="62" spans="2:26" s="17" customFormat="1" ht="45" x14ac:dyDescent="0.35">
      <c r="B62" s="234" t="s">
        <v>105</v>
      </c>
      <c r="C62" s="118"/>
      <c r="D62" s="106">
        <f>SUM(I44:I47)</f>
        <v>632000</v>
      </c>
      <c r="E62" s="118"/>
      <c r="F62" s="22"/>
      <c r="G62" s="195" t="s">
        <v>1</v>
      </c>
      <c r="H62" s="195" t="s">
        <v>114</v>
      </c>
      <c r="I62" s="196">
        <f>H5</f>
        <v>2596.6666666666665</v>
      </c>
      <c r="J62" s="18"/>
      <c r="K62" s="205"/>
      <c r="L62" s="212" t="s">
        <v>85</v>
      </c>
      <c r="M62" s="223">
        <v>0</v>
      </c>
      <c r="N62" s="205"/>
      <c r="O62" s="18"/>
      <c r="P62" s="251">
        <f t="shared" ca="1" si="6"/>
        <v>47741</v>
      </c>
      <c r="Q62" s="251" t="str">
        <f t="shared" ca="1" si="8"/>
        <v>September 2030</v>
      </c>
      <c r="R62" s="252">
        <f t="shared" si="10"/>
        <v>5524524.1848361539</v>
      </c>
      <c r="S62" s="254">
        <f t="shared" si="4"/>
        <v>1401456.1903920709</v>
      </c>
      <c r="T62" s="254">
        <f t="shared" si="5"/>
        <v>859230.19583333342</v>
      </c>
      <c r="U62" s="252">
        <f t="shared" si="3"/>
        <v>634000</v>
      </c>
      <c r="V62" s="252">
        <f t="shared" si="9"/>
        <v>7151210.5710615581</v>
      </c>
      <c r="W62" s="255"/>
      <c r="X62" s="256"/>
      <c r="Y62" s="256"/>
      <c r="Z62" s="256"/>
    </row>
    <row r="63" spans="2:26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51">
        <f t="shared" ca="1" si="6"/>
        <v>47771</v>
      </c>
      <c r="Q63" s="251" t="str">
        <f t="shared" ca="1" si="8"/>
        <v>October 2030</v>
      </c>
      <c r="R63" s="252">
        <f t="shared" si="10"/>
        <v>5570561.8863764554</v>
      </c>
      <c r="S63" s="254">
        <f t="shared" si="4"/>
        <v>1418134.9919786714</v>
      </c>
      <c r="T63" s="254">
        <f t="shared" si="5"/>
        <v>874488.92666666675</v>
      </c>
      <c r="U63" s="252">
        <f t="shared" si="3"/>
        <v>634000</v>
      </c>
      <c r="V63" s="252">
        <f t="shared" si="9"/>
        <v>7229185.8050217936</v>
      </c>
      <c r="W63" s="255"/>
      <c r="X63" s="256"/>
      <c r="Y63" s="256"/>
      <c r="Z63" s="256"/>
    </row>
    <row r="64" spans="2:26" s="17" customFormat="1" ht="33" x14ac:dyDescent="0.35">
      <c r="B64" s="234" t="s">
        <v>100</v>
      </c>
      <c r="C64" s="118"/>
      <c r="D64" s="106">
        <f>SUM(E44:E47)</f>
        <v>3500000</v>
      </c>
      <c r="E64" s="118"/>
      <c r="F64" s="22"/>
      <c r="G64" s="117" t="s">
        <v>126</v>
      </c>
      <c r="H64" s="117" t="s">
        <v>114</v>
      </c>
      <c r="I64" s="192">
        <f>I28-H5</f>
        <v>8164.6025000000009</v>
      </c>
      <c r="J64" s="18"/>
      <c r="K64" s="205"/>
      <c r="L64" s="212" t="s">
        <v>83</v>
      </c>
      <c r="M64" s="223">
        <v>512000</v>
      </c>
      <c r="N64" s="205"/>
      <c r="O64" s="18"/>
      <c r="P64" s="251">
        <f t="shared" ca="1" si="6"/>
        <v>47801</v>
      </c>
      <c r="Q64" s="251" t="str">
        <f t="shared" ca="1" si="8"/>
        <v>November 2030</v>
      </c>
      <c r="R64" s="252">
        <f t="shared" si="10"/>
        <v>5616983.2354295924</v>
      </c>
      <c r="S64" s="254">
        <f t="shared" si="4"/>
        <v>1434952.7835784936</v>
      </c>
      <c r="T64" s="254">
        <f t="shared" si="5"/>
        <v>889747.65750000009</v>
      </c>
      <c r="U64" s="252">
        <f t="shared" si="3"/>
        <v>634000</v>
      </c>
      <c r="V64" s="252">
        <f t="shared" si="9"/>
        <v>7307683.6765080858</v>
      </c>
      <c r="W64" s="255"/>
      <c r="X64" s="256"/>
      <c r="Y64" s="256"/>
      <c r="Z64" s="256"/>
    </row>
    <row r="65" spans="2:26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120000</v>
      </c>
      <c r="N65" s="205"/>
      <c r="O65" s="18"/>
      <c r="P65" s="251">
        <f t="shared" ca="1" si="6"/>
        <v>47831</v>
      </c>
      <c r="Q65" s="251" t="str">
        <f t="shared" ca="1" si="8"/>
        <v>December 2030</v>
      </c>
      <c r="R65" s="252">
        <f t="shared" si="10"/>
        <v>5663791.4290581718</v>
      </c>
      <c r="S65" s="254">
        <f t="shared" si="4"/>
        <v>1451910.7234416476</v>
      </c>
      <c r="T65" s="254">
        <f t="shared" si="5"/>
        <v>905006.38833333342</v>
      </c>
      <c r="U65" s="252">
        <f t="shared" si="3"/>
        <v>634000</v>
      </c>
      <c r="V65" s="252">
        <f t="shared" si="9"/>
        <v>7386708.5408331528</v>
      </c>
      <c r="W65" s="255"/>
      <c r="X65" s="256"/>
      <c r="Y65" s="256"/>
      <c r="Z65" s="256"/>
    </row>
    <row r="66" spans="2:26" ht="33" x14ac:dyDescent="0.35">
      <c r="B66" s="234" t="s">
        <v>101</v>
      </c>
      <c r="C66" s="118"/>
      <c r="D66" s="237">
        <f>SUM(D44:D47)</f>
        <v>2868000</v>
      </c>
      <c r="E66" s="118"/>
      <c r="G66" s="117" t="s">
        <v>125</v>
      </c>
      <c r="H66" s="117"/>
      <c r="I66" s="192">
        <f>I64*12/0.09</f>
        <v>1088613.6666666667</v>
      </c>
      <c r="K66" s="205"/>
      <c r="L66" s="212" t="s">
        <v>123</v>
      </c>
      <c r="M66" s="223"/>
      <c r="N66" s="205"/>
      <c r="P66" s="251">
        <f ca="1">P65+30</f>
        <v>47861</v>
      </c>
      <c r="Q66" s="251" t="str">
        <f t="shared" ca="1" si="8"/>
        <v>January 2031</v>
      </c>
      <c r="R66" s="252">
        <f t="shared" si="10"/>
        <v>5710989.6909669898</v>
      </c>
      <c r="S66" s="254">
        <f t="shared" si="4"/>
        <v>1469009.979470328</v>
      </c>
      <c r="T66" s="254">
        <f t="shared" si="5"/>
        <v>920265.11916666676</v>
      </c>
      <c r="U66" s="252">
        <f t="shared" si="3"/>
        <v>634000</v>
      </c>
      <c r="V66" s="252">
        <f t="shared" si="9"/>
        <v>7466264.789603984</v>
      </c>
      <c r="W66" s="255"/>
      <c r="X66" s="255"/>
      <c r="Y66" s="255"/>
      <c r="Z66" s="255"/>
    </row>
    <row r="67" spans="2:26" ht="34" thickBot="1" x14ac:dyDescent="0.4">
      <c r="B67" s="238"/>
      <c r="C67" s="118"/>
      <c r="D67" s="237"/>
      <c r="E67" s="118"/>
      <c r="G67" s="113" t="s">
        <v>122</v>
      </c>
      <c r="H67" s="99"/>
      <c r="I67" s="190"/>
      <c r="K67" s="205"/>
      <c r="L67" s="221"/>
      <c r="M67" s="222"/>
      <c r="N67" s="205"/>
      <c r="P67" s="251"/>
      <c r="Q67" s="251"/>
      <c r="R67" s="252"/>
      <c r="S67" s="252"/>
      <c r="T67" s="252"/>
      <c r="U67" s="252"/>
      <c r="V67" s="255"/>
      <c r="W67" s="255"/>
      <c r="X67" s="255"/>
      <c r="Y67" s="255"/>
      <c r="Z67" s="255"/>
    </row>
    <row r="68" spans="2:26" ht="25" x14ac:dyDescent="0.2">
      <c r="B68" s="234" t="s">
        <v>29</v>
      </c>
      <c r="C68" s="118"/>
      <c r="D68" s="239">
        <f>D62/D64</f>
        <v>0.18057142857142858</v>
      </c>
      <c r="E68" s="118"/>
      <c r="H68" s="99"/>
      <c r="I68" s="147"/>
      <c r="K68" s="205"/>
      <c r="L68" s="206"/>
      <c r="M68" s="205"/>
      <c r="N68" s="205"/>
    </row>
    <row r="69" spans="2:26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6" ht="33" x14ac:dyDescent="0.35">
      <c r="B70" s="234" t="s">
        <v>121</v>
      </c>
      <c r="C70" s="118"/>
      <c r="D70" s="237">
        <f>(80%-D68)*D64</f>
        <v>2168000</v>
      </c>
      <c r="E70" s="118"/>
      <c r="G70" s="114"/>
      <c r="H70" s="99"/>
      <c r="I70" s="147"/>
      <c r="L70" s="119"/>
      <c r="M70" s="120"/>
    </row>
    <row r="71" spans="2:26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20000</v>
      </c>
      <c r="L71" s="247">
        <f>D56</f>
        <v>3554000</v>
      </c>
      <c r="M71" s="120"/>
    </row>
    <row r="72" spans="2:26" ht="29" customHeight="1" x14ac:dyDescent="0.35">
      <c r="B72" s="137"/>
      <c r="E72" s="99"/>
      <c r="G72" s="232" t="s">
        <v>163</v>
      </c>
      <c r="H72" s="232"/>
      <c r="I72" s="233">
        <f>SUM(E37:E39)</f>
        <v>668000</v>
      </c>
      <c r="L72" s="246">
        <f>L71*M72</f>
        <v>1421600</v>
      </c>
      <c r="M72" s="248">
        <v>0.4</v>
      </c>
    </row>
    <row r="73" spans="2:26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688000</v>
      </c>
      <c r="L73" s="246">
        <f>L72+M73</f>
        <v>1971600</v>
      </c>
      <c r="M73" s="119">
        <v>550000</v>
      </c>
    </row>
    <row r="74" spans="2:26" ht="29" customHeight="1" x14ac:dyDescent="0.35">
      <c r="B74" s="125"/>
      <c r="E74" s="99"/>
      <c r="H74" s="99"/>
      <c r="I74" s="147"/>
      <c r="L74" s="246">
        <f>L73+M74</f>
        <v>2771600</v>
      </c>
      <c r="M74" s="119">
        <v>800000</v>
      </c>
      <c r="N74" s="119"/>
    </row>
    <row r="75" spans="2:26" ht="29" customHeight="1" x14ac:dyDescent="0.35">
      <c r="B75" s="138" t="s">
        <v>128</v>
      </c>
      <c r="C75" s="131"/>
      <c r="D75" s="102">
        <f>D78-D62</f>
        <v>1447513.1540163034</v>
      </c>
      <c r="E75" s="131"/>
      <c r="G75" s="114" t="s">
        <v>127</v>
      </c>
      <c r="H75" s="99"/>
      <c r="I75" s="147"/>
      <c r="L75" s="119"/>
      <c r="M75" s="119"/>
      <c r="N75" s="119"/>
    </row>
    <row r="76" spans="2:26" ht="29" customHeight="1" x14ac:dyDescent="0.35">
      <c r="B76" s="137" t="s">
        <v>112</v>
      </c>
      <c r="E76" s="99"/>
      <c r="G76" s="22"/>
      <c r="H76" s="99"/>
      <c r="I76" s="147"/>
      <c r="L76" s="247">
        <f>D56</f>
        <v>3554000</v>
      </c>
      <c r="M76" s="120"/>
      <c r="N76" s="119"/>
    </row>
    <row r="77" spans="2:26" ht="29" customHeight="1" x14ac:dyDescent="0.35">
      <c r="B77" s="137"/>
      <c r="E77" s="113"/>
      <c r="G77" s="601" t="s">
        <v>165</v>
      </c>
      <c r="H77" s="602"/>
      <c r="I77" s="194">
        <f>SUM(E34:E39)/(I28-H5)</f>
        <v>84.266196670321662</v>
      </c>
      <c r="L77" s="246">
        <f>L76*M77</f>
        <v>2132400</v>
      </c>
      <c r="M77" s="248">
        <v>0.6</v>
      </c>
      <c r="N77" s="119"/>
    </row>
    <row r="78" spans="2:26" ht="29" customHeight="1" x14ac:dyDescent="0.35">
      <c r="B78" s="138" t="s">
        <v>117</v>
      </c>
      <c r="C78" s="131"/>
      <c r="D78" s="102">
        <f>PV(8%/12,30*12,H22,0)*-1</f>
        <v>2079513.1540163034</v>
      </c>
      <c r="E78" s="131"/>
      <c r="G78" s="601" t="s">
        <v>166</v>
      </c>
      <c r="H78" s="602"/>
      <c r="I78" s="194">
        <f>SUM(E34:E39)/(I28-H5)/12</f>
        <v>7.0221830558601388</v>
      </c>
      <c r="L78" s="246">
        <f>L77+M78</f>
        <v>2932400</v>
      </c>
      <c r="M78" s="119">
        <v>800000</v>
      </c>
    </row>
    <row r="79" spans="2:26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1.8688883914842556</v>
      </c>
      <c r="L79" s="246"/>
      <c r="M79" s="119"/>
    </row>
    <row r="80" spans="2:26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1F0F-34CF-A44A-9110-5D49C8784931}">
  <dimension ref="B1:AG94"/>
  <sheetViews>
    <sheetView showGridLines="0" topLeftCell="A17" zoomScale="60" zoomScaleNormal="60" workbookViewId="0">
      <selection activeCell="M45" sqref="M45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6" width="25.1640625" style="18" customWidth="1"/>
    <col min="17" max="17" width="23.1640625" style="18" bestFit="1" customWidth="1"/>
    <col min="18" max="18" width="33.5" style="18" bestFit="1" customWidth="1"/>
    <col min="19" max="19" width="27" style="18" customWidth="1"/>
    <col min="20" max="20" width="67.5" style="18" bestFit="1" customWidth="1"/>
    <col min="21" max="22" width="27" style="18" bestFit="1" customWidth="1"/>
    <col min="23" max="23" width="35" style="18" bestFit="1" customWidth="1"/>
    <col min="24" max="16384" width="11" style="18"/>
  </cols>
  <sheetData>
    <row r="1" spans="2:33" ht="32" thickBot="1" x14ac:dyDescent="0.35">
      <c r="K1" s="205"/>
      <c r="L1" s="206"/>
      <c r="M1" s="205"/>
      <c r="N1" s="205"/>
      <c r="Q1" s="251"/>
      <c r="R1" s="29"/>
      <c r="S1" s="252"/>
      <c r="T1" s="258" t="s">
        <v>180</v>
      </c>
      <c r="U1" s="259">
        <v>0.1</v>
      </c>
      <c r="V1" s="252"/>
      <c r="W1" s="255"/>
      <c r="X1" s="255"/>
      <c r="Y1" s="255"/>
      <c r="Z1" s="255"/>
      <c r="AA1" s="255"/>
    </row>
    <row r="2" spans="2:33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Q2" s="251"/>
      <c r="R2" s="249"/>
      <c r="S2" s="252"/>
      <c r="T2" s="258" t="s">
        <v>179</v>
      </c>
      <c r="U2" s="259">
        <v>0.1</v>
      </c>
      <c r="W2" s="255"/>
      <c r="X2" s="255"/>
      <c r="Y2" s="255"/>
      <c r="Z2" s="255"/>
      <c r="AA2" s="255"/>
    </row>
    <row r="3" spans="2:33" ht="38" thickBot="1" x14ac:dyDescent="0.4">
      <c r="B3" s="19"/>
      <c r="E3" s="22"/>
      <c r="I3" s="22"/>
      <c r="K3" s="205"/>
      <c r="L3" s="209"/>
      <c r="M3" s="209"/>
      <c r="N3" s="210"/>
      <c r="Q3" s="251"/>
      <c r="R3" s="29"/>
      <c r="S3" s="252"/>
      <c r="T3" s="258" t="s">
        <v>175</v>
      </c>
      <c r="U3" s="260">
        <v>10000</v>
      </c>
      <c r="V3" s="252"/>
      <c r="W3" s="255"/>
      <c r="X3" s="255"/>
      <c r="Y3" s="255"/>
      <c r="Z3" s="255"/>
      <c r="AA3" s="255"/>
      <c r="AG3" s="257" t="s">
        <v>176</v>
      </c>
    </row>
    <row r="4" spans="2:33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Q4" s="251"/>
      <c r="R4" s="29"/>
      <c r="S4" s="252"/>
      <c r="T4" s="252"/>
      <c r="U4" s="252"/>
      <c r="V4" s="252"/>
      <c r="W4" s="255"/>
      <c r="X4" s="255"/>
      <c r="Y4" s="255"/>
      <c r="Z4" s="255"/>
      <c r="AA4" s="255"/>
    </row>
    <row r="5" spans="2:33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2596.6666666666665</v>
      </c>
      <c r="I5" s="143">
        <f>H5*12</f>
        <v>31160</v>
      </c>
      <c r="K5" s="205"/>
      <c r="L5" s="212"/>
      <c r="M5" s="213"/>
      <c r="N5" s="210"/>
      <c r="Q5" s="251"/>
      <c r="R5" s="29"/>
      <c r="S5" s="252"/>
      <c r="T5" s="252"/>
      <c r="U5" s="252"/>
      <c r="V5" s="252"/>
      <c r="W5" s="255"/>
      <c r="X5" s="255"/>
      <c r="Y5" s="255"/>
      <c r="Z5" s="255"/>
      <c r="AA5" s="255"/>
    </row>
    <row r="6" spans="2:33" ht="33" x14ac:dyDescent="0.35">
      <c r="B6" s="97" t="s">
        <v>40</v>
      </c>
      <c r="C6" s="164">
        <f>D6*12</f>
        <v>240000</v>
      </c>
      <c r="D6" s="165">
        <f>M6</f>
        <v>20000</v>
      </c>
      <c r="E6" s="166"/>
      <c r="F6" s="61"/>
      <c r="G6" s="39"/>
      <c r="H6" s="55"/>
      <c r="I6" s="56"/>
      <c r="K6" s="205"/>
      <c r="L6" s="212" t="s">
        <v>70</v>
      </c>
      <c r="M6" s="223">
        <v>20000</v>
      </c>
      <c r="N6" s="210"/>
      <c r="P6" s="253" t="s">
        <v>172</v>
      </c>
      <c r="Q6" s="253" t="s">
        <v>172</v>
      </c>
      <c r="R6" s="250" t="s">
        <v>171</v>
      </c>
      <c r="S6" s="250" t="s">
        <v>173</v>
      </c>
      <c r="T6" s="250" t="s">
        <v>124</v>
      </c>
      <c r="U6" s="250" t="s">
        <v>178</v>
      </c>
      <c r="V6" s="250" t="s">
        <v>174</v>
      </c>
      <c r="W6" s="250" t="s">
        <v>177</v>
      </c>
      <c r="X6" s="255"/>
      <c r="Y6" s="255"/>
      <c r="Z6" s="255"/>
      <c r="AA6" s="255"/>
    </row>
    <row r="7" spans="2:33" ht="33" x14ac:dyDescent="0.35">
      <c r="B7" s="97" t="s">
        <v>41</v>
      </c>
      <c r="C7" s="167">
        <f>D7*12</f>
        <v>0</v>
      </c>
      <c r="D7" s="165">
        <f>M7</f>
        <v>0</v>
      </c>
      <c r="E7" s="168"/>
      <c r="F7" s="54"/>
      <c r="G7" s="39"/>
      <c r="H7" s="44"/>
      <c r="I7" s="47"/>
      <c r="K7" s="205"/>
      <c r="L7" s="212" t="s">
        <v>71</v>
      </c>
      <c r="M7" s="213"/>
      <c r="N7" s="210"/>
      <c r="P7" s="249">
        <v>1</v>
      </c>
      <c r="Q7" s="251">
        <f ca="1">TODAY()</f>
        <v>46091</v>
      </c>
      <c r="R7" s="251" t="str">
        <f t="shared" ref="R7:R38" ca="1" si="0">TEXT($Q7,"MMMM")&amp;TEXT($Q7," YYYY")</f>
        <v>March 2026</v>
      </c>
      <c r="S7" s="252">
        <f>SUM(E44:E46)</f>
        <v>3500000</v>
      </c>
      <c r="T7" s="252">
        <f>SUM(E37:E39)</f>
        <v>683000</v>
      </c>
      <c r="U7" s="252">
        <f>$E$34</f>
        <v>804000</v>
      </c>
      <c r="V7" s="252">
        <f>$I$50</f>
        <v>1458000</v>
      </c>
      <c r="W7" s="252">
        <f t="shared" ref="W7:W38" si="1">SUM(S7:U7)-V7</f>
        <v>3529000</v>
      </c>
      <c r="X7" s="255"/>
      <c r="Y7" s="255"/>
      <c r="Z7" s="255"/>
      <c r="AA7" s="255"/>
    </row>
    <row r="8" spans="2:33" ht="33" x14ac:dyDescent="0.35">
      <c r="B8" s="97" t="s">
        <v>42</v>
      </c>
      <c r="C8" s="167"/>
      <c r="D8" s="165">
        <f>M8</f>
        <v>150</v>
      </c>
      <c r="E8" s="169">
        <f>D8</f>
        <v>150</v>
      </c>
      <c r="F8" s="54"/>
      <c r="G8" s="97"/>
      <c r="H8" s="44"/>
      <c r="I8" s="47"/>
      <c r="K8" s="205"/>
      <c r="L8" s="212" t="s">
        <v>72</v>
      </c>
      <c r="M8" s="223">
        <v>150</v>
      </c>
      <c r="N8" s="210"/>
      <c r="P8" s="249">
        <v>2</v>
      </c>
      <c r="Q8" s="251">
        <f ca="1">Q7+30</f>
        <v>46121</v>
      </c>
      <c r="R8" s="251" t="str">
        <f t="shared" ca="1" si="0"/>
        <v>April 2026</v>
      </c>
      <c r="S8" s="252">
        <f t="shared" ref="S8:S39" si="2">($U$1/12+1)*S7</f>
        <v>3529166.6666666665</v>
      </c>
      <c r="T8" s="254">
        <f>($U$2/12+1)*T7+$U$3</f>
        <v>698691.66666666663</v>
      </c>
      <c r="U8" s="254">
        <f>U7+$I$56</f>
        <v>819258.73083333333</v>
      </c>
      <c r="V8" s="252">
        <f t="shared" ref="V8:V66" si="3">$I$50</f>
        <v>1458000</v>
      </c>
      <c r="W8" s="252">
        <f t="shared" si="1"/>
        <v>3589117.064166666</v>
      </c>
      <c r="X8" s="255"/>
      <c r="Y8" s="255"/>
      <c r="Z8" s="255"/>
      <c r="AA8" s="255"/>
    </row>
    <row r="9" spans="2:33" ht="33" x14ac:dyDescent="0.35">
      <c r="B9" s="97" t="s">
        <v>43</v>
      </c>
      <c r="C9" s="167"/>
      <c r="D9" s="165">
        <f>M9</f>
        <v>800</v>
      </c>
      <c r="E9" s="169">
        <f>D9</f>
        <v>800</v>
      </c>
      <c r="F9" s="54"/>
      <c r="G9" s="97"/>
      <c r="H9" s="44"/>
      <c r="I9" s="47"/>
      <c r="K9" s="205"/>
      <c r="L9" s="212" t="s">
        <v>73</v>
      </c>
      <c r="M9" s="223">
        <v>800</v>
      </c>
      <c r="N9" s="210"/>
      <c r="P9" s="249">
        <v>3</v>
      </c>
      <c r="Q9" s="251">
        <f ca="1">Q8+30</f>
        <v>46151</v>
      </c>
      <c r="R9" s="251" t="str">
        <f t="shared" ca="1" si="0"/>
        <v>May 2026</v>
      </c>
      <c r="S9" s="252">
        <f t="shared" si="2"/>
        <v>3558576.3888888885</v>
      </c>
      <c r="T9" s="254">
        <f t="shared" ref="T9:T66" si="4">($U$2/12+1)*T8+$U$3</f>
        <v>714514.09722222213</v>
      </c>
      <c r="U9" s="254">
        <f t="shared" ref="U9:U66" si="5">U8+$I$56</f>
        <v>834517.46166666667</v>
      </c>
      <c r="V9" s="252">
        <f t="shared" si="3"/>
        <v>1458000</v>
      </c>
      <c r="W9" s="252">
        <f t="shared" si="1"/>
        <v>3649607.9477777779</v>
      </c>
      <c r="X9" s="255"/>
      <c r="Y9" s="255"/>
      <c r="Z9" s="255"/>
      <c r="AA9" s="255"/>
    </row>
    <row r="10" spans="2:33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49">
        <v>4</v>
      </c>
      <c r="Q10" s="251">
        <f t="shared" ref="Q10:Q65" ca="1" si="6">Q9+30</f>
        <v>46181</v>
      </c>
      <c r="R10" s="251" t="str">
        <f t="shared" ca="1" si="0"/>
        <v>June 2026</v>
      </c>
      <c r="S10" s="252">
        <f t="shared" si="2"/>
        <v>3588231.1921296292</v>
      </c>
      <c r="T10" s="254">
        <f t="shared" si="4"/>
        <v>730468.38136574067</v>
      </c>
      <c r="U10" s="254">
        <f t="shared" si="5"/>
        <v>849776.1925</v>
      </c>
      <c r="V10" s="252">
        <f t="shared" si="3"/>
        <v>1458000</v>
      </c>
      <c r="W10" s="252">
        <f t="shared" si="1"/>
        <v>3710475.7659953693</v>
      </c>
      <c r="X10" s="255"/>
      <c r="Y10" s="255"/>
      <c r="Z10" s="255"/>
      <c r="AA10" s="255"/>
    </row>
    <row r="11" spans="2:33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49">
        <v>5</v>
      </c>
      <c r="Q11" s="251">
        <f t="shared" ca="1" si="6"/>
        <v>46211</v>
      </c>
      <c r="R11" s="251" t="str">
        <f t="shared" ca="1" si="0"/>
        <v>July 2026</v>
      </c>
      <c r="S11" s="252">
        <f t="shared" si="2"/>
        <v>3618133.1187307094</v>
      </c>
      <c r="T11" s="254">
        <f t="shared" si="4"/>
        <v>746555.61787712178</v>
      </c>
      <c r="U11" s="254">
        <f t="shared" si="5"/>
        <v>865034.92333333334</v>
      </c>
      <c r="V11" s="252">
        <f t="shared" si="3"/>
        <v>1458000</v>
      </c>
      <c r="W11" s="252">
        <f t="shared" si="1"/>
        <v>3771723.6599411648</v>
      </c>
      <c r="X11" s="255"/>
      <c r="Y11" s="255"/>
      <c r="Z11" s="255"/>
      <c r="AA11" s="255"/>
    </row>
    <row r="12" spans="2:33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49">
        <v>6</v>
      </c>
      <c r="Q12" s="251">
        <f t="shared" ca="1" si="6"/>
        <v>46241</v>
      </c>
      <c r="R12" s="251" t="str">
        <f t="shared" ca="1" si="0"/>
        <v>August 2026</v>
      </c>
      <c r="S12" s="252">
        <f t="shared" si="2"/>
        <v>3648284.228053465</v>
      </c>
      <c r="T12" s="254">
        <f t="shared" si="4"/>
        <v>762776.9146927644</v>
      </c>
      <c r="U12" s="254">
        <f t="shared" si="5"/>
        <v>880293.65416666667</v>
      </c>
      <c r="V12" s="252">
        <f t="shared" si="3"/>
        <v>1458000</v>
      </c>
      <c r="W12" s="252">
        <f t="shared" si="1"/>
        <v>3833354.7969128964</v>
      </c>
      <c r="X12" s="255"/>
      <c r="Y12" s="255"/>
      <c r="Z12" s="255"/>
      <c r="AA12" s="255"/>
    </row>
    <row r="13" spans="2:33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49">
        <v>7</v>
      </c>
      <c r="Q13" s="251">
        <f t="shared" ca="1" si="6"/>
        <v>46271</v>
      </c>
      <c r="R13" s="251" t="str">
        <f t="shared" ca="1" si="0"/>
        <v>September 2026</v>
      </c>
      <c r="S13" s="252">
        <f t="shared" si="2"/>
        <v>3678686.5966205769</v>
      </c>
      <c r="T13" s="254">
        <f t="shared" si="4"/>
        <v>779133.38898187072</v>
      </c>
      <c r="U13" s="254">
        <f t="shared" si="5"/>
        <v>895552.38500000001</v>
      </c>
      <c r="V13" s="252">
        <f t="shared" si="3"/>
        <v>1458000</v>
      </c>
      <c r="W13" s="252">
        <f t="shared" si="1"/>
        <v>3895372.3706024475</v>
      </c>
      <c r="X13" s="255"/>
      <c r="Y13" s="255"/>
      <c r="Z13" s="255"/>
      <c r="AA13" s="255"/>
    </row>
    <row r="14" spans="2:33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-86.66666666666697</v>
      </c>
      <c r="F14" s="41"/>
      <c r="G14" s="97" t="s">
        <v>68</v>
      </c>
      <c r="H14" s="145">
        <f>C14/E45</f>
        <v>3.3936842105263161E-2</v>
      </c>
      <c r="I14" s="47"/>
      <c r="K14" s="205"/>
      <c r="L14" s="212" t="s">
        <v>75</v>
      </c>
      <c r="M14" s="223">
        <v>620</v>
      </c>
      <c r="N14" s="210"/>
      <c r="P14" s="249">
        <v>8</v>
      </c>
      <c r="Q14" s="251">
        <f t="shared" ca="1" si="6"/>
        <v>46301</v>
      </c>
      <c r="R14" s="251" t="str">
        <f t="shared" ca="1" si="0"/>
        <v>October 2026</v>
      </c>
      <c r="S14" s="252">
        <f t="shared" si="2"/>
        <v>3709342.3182590818</v>
      </c>
      <c r="T14" s="254">
        <f t="shared" si="4"/>
        <v>795626.16722338623</v>
      </c>
      <c r="U14" s="254">
        <f t="shared" si="5"/>
        <v>910811.11583333334</v>
      </c>
      <c r="V14" s="252">
        <f t="shared" si="3"/>
        <v>1458000</v>
      </c>
      <c r="W14" s="252">
        <f t="shared" si="1"/>
        <v>3957779.601315802</v>
      </c>
      <c r="X14" s="255"/>
      <c r="Y14" s="255"/>
      <c r="Z14" s="255"/>
      <c r="AA14" s="255"/>
    </row>
    <row r="15" spans="2:33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1733.3333333333335</v>
      </c>
      <c r="F15" s="41"/>
      <c r="G15" s="97" t="s">
        <v>69</v>
      </c>
      <c r="H15" s="145">
        <f>C15/E46</f>
        <v>4.3999999999999997E-2</v>
      </c>
      <c r="I15" s="47"/>
      <c r="K15" s="205"/>
      <c r="L15" s="214" t="s">
        <v>76</v>
      </c>
      <c r="M15" s="224">
        <v>550</v>
      </c>
      <c r="N15" s="210"/>
      <c r="P15" s="249">
        <v>9</v>
      </c>
      <c r="Q15" s="251">
        <f t="shared" ca="1" si="6"/>
        <v>46331</v>
      </c>
      <c r="R15" s="251" t="str">
        <f t="shared" ca="1" si="0"/>
        <v>November 2026</v>
      </c>
      <c r="S15" s="252">
        <f t="shared" si="2"/>
        <v>3740253.5042445739</v>
      </c>
      <c r="T15" s="254">
        <f t="shared" si="4"/>
        <v>812256.3852835811</v>
      </c>
      <c r="U15" s="254">
        <f t="shared" si="5"/>
        <v>926069.84666666668</v>
      </c>
      <c r="V15" s="252">
        <f t="shared" si="3"/>
        <v>1458000</v>
      </c>
      <c r="W15" s="252">
        <f t="shared" si="1"/>
        <v>4020579.736194822</v>
      </c>
      <c r="X15" s="255"/>
      <c r="Y15" s="255"/>
      <c r="Z15" s="255"/>
      <c r="AA15" s="255"/>
    </row>
    <row r="16" spans="2:33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49">
        <v>10</v>
      </c>
      <c r="Q16" s="251">
        <f t="shared" ca="1" si="6"/>
        <v>46361</v>
      </c>
      <c r="R16" s="251" t="str">
        <f t="shared" ca="1" si="0"/>
        <v>December 2026</v>
      </c>
      <c r="S16" s="252">
        <f t="shared" si="2"/>
        <v>3771422.2834466118</v>
      </c>
      <c r="T16" s="254">
        <f t="shared" si="4"/>
        <v>829025.18849427754</v>
      </c>
      <c r="U16" s="254">
        <f t="shared" si="5"/>
        <v>941328.57750000001</v>
      </c>
      <c r="V16" s="252">
        <f t="shared" si="3"/>
        <v>1458000</v>
      </c>
      <c r="W16" s="252">
        <f t="shared" si="1"/>
        <v>4083776.0494408887</v>
      </c>
      <c r="X16" s="255"/>
      <c r="Y16" s="255"/>
      <c r="Z16" s="255"/>
      <c r="AA16" s="255"/>
    </row>
    <row r="17" spans="2:27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26020</v>
      </c>
      <c r="K17" s="205"/>
      <c r="L17" s="215"/>
      <c r="M17" s="216"/>
      <c r="N17" s="210"/>
      <c r="P17" s="249">
        <v>11</v>
      </c>
      <c r="Q17" s="251">
        <f t="shared" ca="1" si="6"/>
        <v>46391</v>
      </c>
      <c r="R17" s="251" t="str">
        <f t="shared" ca="1" si="0"/>
        <v>January 2027</v>
      </c>
      <c r="S17" s="252">
        <f t="shared" si="2"/>
        <v>3802850.8024753337</v>
      </c>
      <c r="T17" s="254">
        <f t="shared" si="4"/>
        <v>845933.73173172981</v>
      </c>
      <c r="U17" s="254">
        <f t="shared" si="5"/>
        <v>956587.30833333335</v>
      </c>
      <c r="V17" s="252">
        <f t="shared" si="3"/>
        <v>1458000</v>
      </c>
      <c r="W17" s="252">
        <f t="shared" si="1"/>
        <v>4147371.8425403973</v>
      </c>
      <c r="X17" s="255"/>
      <c r="Y17" s="255"/>
      <c r="Z17" s="255"/>
      <c r="AA17" s="255"/>
    </row>
    <row r="18" spans="2:27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49">
        <v>12</v>
      </c>
      <c r="Q18" s="251">
        <f t="shared" ca="1" si="6"/>
        <v>46421</v>
      </c>
      <c r="R18" s="251" t="str">
        <f t="shared" ca="1" si="0"/>
        <v>February 2027</v>
      </c>
      <c r="S18" s="252">
        <f t="shared" si="2"/>
        <v>3834541.2258292949</v>
      </c>
      <c r="T18" s="254">
        <f t="shared" si="4"/>
        <v>862983.17949616082</v>
      </c>
      <c r="U18" s="254">
        <f t="shared" si="5"/>
        <v>971846.03916666668</v>
      </c>
      <c r="V18" s="252">
        <f t="shared" si="3"/>
        <v>1458000</v>
      </c>
      <c r="W18" s="252">
        <f t="shared" si="1"/>
        <v>4211370.4444921222</v>
      </c>
      <c r="X18" s="255"/>
      <c r="Y18" s="255"/>
      <c r="Z18" s="255"/>
      <c r="AA18" s="255"/>
    </row>
    <row r="19" spans="2:27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49">
        <v>13</v>
      </c>
      <c r="Q19" s="251">
        <f t="shared" ca="1" si="6"/>
        <v>46451</v>
      </c>
      <c r="R19" s="251" t="str">
        <f t="shared" ca="1" si="0"/>
        <v>March 2027</v>
      </c>
      <c r="S19" s="252">
        <f t="shared" si="2"/>
        <v>3866495.7360445387</v>
      </c>
      <c r="T19" s="254">
        <f t="shared" si="4"/>
        <v>880174.70599196211</v>
      </c>
      <c r="U19" s="254">
        <f t="shared" si="5"/>
        <v>987104.77</v>
      </c>
      <c r="V19" s="252">
        <f t="shared" si="3"/>
        <v>1458000</v>
      </c>
      <c r="W19" s="252">
        <f t="shared" si="1"/>
        <v>4275775.2120365016</v>
      </c>
      <c r="X19" s="255"/>
      <c r="Y19" s="255"/>
      <c r="Z19" s="255"/>
      <c r="AA19" s="255"/>
    </row>
    <row r="20" spans="2:27" ht="33" x14ac:dyDescent="0.35">
      <c r="B20" s="97" t="s">
        <v>36</v>
      </c>
      <c r="C20" s="175">
        <f t="shared" ref="C20:C23" si="7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f>'Monthly Expenses Budget'!C6</f>
        <v>0</v>
      </c>
      <c r="N20" s="210"/>
      <c r="P20" s="249">
        <v>14</v>
      </c>
      <c r="Q20" s="251">
        <f t="shared" ca="1" si="6"/>
        <v>46481</v>
      </c>
      <c r="R20" s="251" t="str">
        <f t="shared" ca="1" si="0"/>
        <v>April 2027</v>
      </c>
      <c r="S20" s="252">
        <f t="shared" si="2"/>
        <v>3898716.5338449096</v>
      </c>
      <c r="T20" s="254">
        <f t="shared" si="4"/>
        <v>897509.49520856177</v>
      </c>
      <c r="U20" s="254">
        <f t="shared" si="5"/>
        <v>1002363.5008333334</v>
      </c>
      <c r="V20" s="252">
        <f t="shared" si="3"/>
        <v>1458000</v>
      </c>
      <c r="W20" s="252">
        <f t="shared" si="1"/>
        <v>4340589.5298868045</v>
      </c>
      <c r="X20" s="255"/>
      <c r="Y20" s="255"/>
      <c r="Z20" s="255"/>
      <c r="AA20" s="255"/>
    </row>
    <row r="21" spans="2:27" ht="34" thickBot="1" x14ac:dyDescent="0.4">
      <c r="B21" s="97" t="str">
        <f>L21</f>
        <v>Interest Forest Lake</v>
      </c>
      <c r="C21" s="175">
        <f t="shared" si="7"/>
        <v>33280</v>
      </c>
      <c r="D21" s="176">
        <f>M21*I45/12</f>
        <v>2773.3333333333335</v>
      </c>
      <c r="E21" s="48"/>
      <c r="F21" s="121"/>
      <c r="G21" s="125"/>
      <c r="H21" s="22"/>
      <c r="I21" s="147"/>
      <c r="K21" s="205"/>
      <c r="L21" s="212" t="s">
        <v>167</v>
      </c>
      <c r="M21" s="225">
        <v>6.5000000000000002E-2</v>
      </c>
      <c r="N21" s="210"/>
      <c r="P21" s="249">
        <v>15</v>
      </c>
      <c r="Q21" s="251">
        <f t="shared" ca="1" si="6"/>
        <v>46511</v>
      </c>
      <c r="R21" s="251" t="str">
        <f t="shared" ca="1" si="0"/>
        <v>May 2027</v>
      </c>
      <c r="S21" s="252">
        <f t="shared" si="2"/>
        <v>3931205.8382936171</v>
      </c>
      <c r="T21" s="254">
        <f t="shared" si="4"/>
        <v>914988.74100196641</v>
      </c>
      <c r="U21" s="254">
        <f t="shared" si="5"/>
        <v>1017622.2316666667</v>
      </c>
      <c r="V21" s="252">
        <f t="shared" si="3"/>
        <v>1458000</v>
      </c>
      <c r="W21" s="252">
        <f t="shared" si="1"/>
        <v>4405816.8109622495</v>
      </c>
      <c r="X21" s="255"/>
      <c r="Y21" s="255"/>
      <c r="Z21" s="255"/>
      <c r="AA21" s="255"/>
    </row>
    <row r="22" spans="2:27" ht="34" thickBot="1" x14ac:dyDescent="0.4">
      <c r="B22" s="97" t="str">
        <f>L22</f>
        <v>Interest Strathpine</v>
      </c>
      <c r="C22" s="175">
        <f t="shared" si="7"/>
        <v>7800</v>
      </c>
      <c r="D22" s="176">
        <f>M22*I46/12</f>
        <v>650</v>
      </c>
      <c r="E22" s="49"/>
      <c r="F22" s="122"/>
      <c r="G22" s="157" t="s">
        <v>86</v>
      </c>
      <c r="H22" s="104">
        <f>I17-I28</f>
        <v>15258.730833333333</v>
      </c>
      <c r="I22" s="147"/>
      <c r="K22" s="205"/>
      <c r="L22" s="212" t="s">
        <v>168</v>
      </c>
      <c r="M22" s="225">
        <v>6.5000000000000002E-2</v>
      </c>
      <c r="N22" s="210"/>
      <c r="P22" s="249">
        <v>16</v>
      </c>
      <c r="Q22" s="251">
        <f t="shared" ca="1" si="6"/>
        <v>46541</v>
      </c>
      <c r="R22" s="251" t="str">
        <f t="shared" ca="1" si="0"/>
        <v>June 2027</v>
      </c>
      <c r="S22" s="252">
        <f t="shared" si="2"/>
        <v>3963965.886946064</v>
      </c>
      <c r="T22" s="254">
        <f t="shared" si="4"/>
        <v>932613.64717698272</v>
      </c>
      <c r="U22" s="254">
        <f t="shared" si="5"/>
        <v>1032880.9625</v>
      </c>
      <c r="V22" s="252">
        <f t="shared" si="3"/>
        <v>1458000</v>
      </c>
      <c r="W22" s="252">
        <f t="shared" si="1"/>
        <v>4471460.4966230467</v>
      </c>
      <c r="X22" s="255"/>
      <c r="Y22" s="255"/>
      <c r="Z22" s="255"/>
      <c r="AA22" s="255"/>
    </row>
    <row r="23" spans="2:27" ht="33" x14ac:dyDescent="0.35">
      <c r="B23" s="97" t="s">
        <v>123</v>
      </c>
      <c r="C23" s="175">
        <f t="shared" si="7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49">
        <v>17</v>
      </c>
      <c r="Q23" s="251">
        <f t="shared" ca="1" si="6"/>
        <v>46571</v>
      </c>
      <c r="R23" s="251" t="str">
        <f t="shared" ca="1" si="0"/>
        <v>July 2027</v>
      </c>
      <c r="S23" s="252">
        <f t="shared" si="2"/>
        <v>3996998.9360039476</v>
      </c>
      <c r="T23" s="254">
        <f t="shared" si="4"/>
        <v>950385.42757012416</v>
      </c>
      <c r="U23" s="254">
        <f t="shared" si="5"/>
        <v>1048139.6933333334</v>
      </c>
      <c r="V23" s="252">
        <f t="shared" si="3"/>
        <v>1458000</v>
      </c>
      <c r="W23" s="252">
        <f t="shared" si="1"/>
        <v>4537524.0569074051</v>
      </c>
      <c r="X23" s="255"/>
      <c r="Y23" s="255"/>
      <c r="Z23" s="255"/>
      <c r="AA23" s="255"/>
    </row>
    <row r="24" spans="2:27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49">
        <v>18</v>
      </c>
      <c r="Q24" s="251">
        <f t="shared" ca="1" si="6"/>
        <v>46601</v>
      </c>
      <c r="R24" s="251" t="str">
        <f t="shared" ca="1" si="0"/>
        <v>August 2027</v>
      </c>
      <c r="S24" s="252">
        <f t="shared" si="2"/>
        <v>4030307.2604706469</v>
      </c>
      <c r="T24" s="254">
        <f t="shared" si="4"/>
        <v>968305.30613320845</v>
      </c>
      <c r="U24" s="254">
        <f t="shared" si="5"/>
        <v>1063398.4241666666</v>
      </c>
      <c r="V24" s="252">
        <f t="shared" si="3"/>
        <v>1458000</v>
      </c>
      <c r="W24" s="252">
        <f t="shared" si="1"/>
        <v>4604010.9907705216</v>
      </c>
      <c r="X24" s="255"/>
      <c r="Y24" s="255"/>
      <c r="Z24" s="255"/>
      <c r="AA24" s="255"/>
    </row>
    <row r="25" spans="2:27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49">
        <v>19</v>
      </c>
      <c r="Q25" s="251">
        <f t="shared" ca="1" si="6"/>
        <v>46631</v>
      </c>
      <c r="R25" s="251" t="str">
        <f t="shared" ca="1" si="0"/>
        <v>September 2027</v>
      </c>
      <c r="S25" s="252">
        <f t="shared" si="2"/>
        <v>4063893.1543079023</v>
      </c>
      <c r="T25" s="254">
        <f t="shared" si="4"/>
        <v>986374.51701765181</v>
      </c>
      <c r="U25" s="254">
        <f t="shared" si="5"/>
        <v>1078657.1549999998</v>
      </c>
      <c r="V25" s="252">
        <f t="shared" si="3"/>
        <v>1458000</v>
      </c>
      <c r="W25" s="252">
        <f t="shared" si="1"/>
        <v>4670924.8263255544</v>
      </c>
      <c r="X25" s="255"/>
      <c r="Y25" s="255"/>
      <c r="Z25" s="255"/>
      <c r="AA25" s="255"/>
    </row>
    <row r="26" spans="2:27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49">
        <v>20</v>
      </c>
      <c r="Q26" s="251">
        <f t="shared" ca="1" si="6"/>
        <v>46661</v>
      </c>
      <c r="R26" s="251" t="str">
        <f t="shared" ca="1" si="0"/>
        <v>October 2027</v>
      </c>
      <c r="S26" s="252">
        <f t="shared" si="2"/>
        <v>4097758.9305938012</v>
      </c>
      <c r="T26" s="254">
        <f t="shared" si="4"/>
        <v>1004594.3046594656</v>
      </c>
      <c r="U26" s="254">
        <f t="shared" si="5"/>
        <v>1093915.885833333</v>
      </c>
      <c r="V26" s="252">
        <f t="shared" si="3"/>
        <v>1458000</v>
      </c>
      <c r="W26" s="252">
        <f t="shared" si="1"/>
        <v>4738269.1210866002</v>
      </c>
      <c r="X26" s="255"/>
      <c r="Y26" s="255"/>
      <c r="Z26" s="255"/>
      <c r="AA26" s="255"/>
    </row>
    <row r="27" spans="2:27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49">
        <v>21</v>
      </c>
      <c r="Q27" s="251">
        <f t="shared" ca="1" si="6"/>
        <v>46691</v>
      </c>
      <c r="R27" s="251" t="str">
        <f t="shared" ca="1" si="0"/>
        <v>October 2027</v>
      </c>
      <c r="S27" s="252">
        <f t="shared" si="2"/>
        <v>4131906.9216820826</v>
      </c>
      <c r="T27" s="254">
        <f t="shared" si="4"/>
        <v>1022965.923864961</v>
      </c>
      <c r="U27" s="254">
        <f t="shared" si="5"/>
        <v>1109174.6166666662</v>
      </c>
      <c r="V27" s="252">
        <f t="shared" si="3"/>
        <v>1458000</v>
      </c>
      <c r="W27" s="252">
        <f t="shared" si="1"/>
        <v>4806047.46221371</v>
      </c>
      <c r="X27" s="255"/>
      <c r="Y27" s="255"/>
      <c r="Z27" s="255"/>
      <c r="AA27" s="255"/>
    </row>
    <row r="28" spans="2:27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10761.269166666667</v>
      </c>
      <c r="K28" s="205"/>
      <c r="L28" s="211" t="s">
        <v>119</v>
      </c>
      <c r="M28" s="217"/>
      <c r="N28" s="205"/>
      <c r="P28" s="249">
        <v>22</v>
      </c>
      <c r="Q28" s="251">
        <f t="shared" ca="1" si="6"/>
        <v>46721</v>
      </c>
      <c r="R28" s="251" t="str">
        <f t="shared" ca="1" si="0"/>
        <v>November 2027</v>
      </c>
      <c r="S28" s="252">
        <f t="shared" si="2"/>
        <v>4166339.4793627663</v>
      </c>
      <c r="T28" s="254">
        <f t="shared" si="4"/>
        <v>1041490.639897169</v>
      </c>
      <c r="U28" s="254">
        <f t="shared" si="5"/>
        <v>1124433.3474999995</v>
      </c>
      <c r="V28" s="252">
        <f t="shared" si="3"/>
        <v>1458000</v>
      </c>
      <c r="W28" s="252">
        <f t="shared" si="1"/>
        <v>4874263.4667599341</v>
      </c>
      <c r="X28" s="255"/>
      <c r="Y28" s="255"/>
      <c r="Z28" s="255"/>
      <c r="AA28" s="255"/>
    </row>
    <row r="29" spans="2:27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49">
        <v>23</v>
      </c>
      <c r="Q29" s="251">
        <f t="shared" ca="1" si="6"/>
        <v>46751</v>
      </c>
      <c r="R29" s="251" t="str">
        <f t="shared" ca="1" si="0"/>
        <v>December 2027</v>
      </c>
      <c r="S29" s="252">
        <f t="shared" si="2"/>
        <v>4201058.9750241227</v>
      </c>
      <c r="T29" s="254">
        <f t="shared" si="4"/>
        <v>1060169.7285629786</v>
      </c>
      <c r="U29" s="254">
        <f t="shared" si="5"/>
        <v>1139692.0783333327</v>
      </c>
      <c r="V29" s="252">
        <f t="shared" si="3"/>
        <v>1458000</v>
      </c>
      <c r="W29" s="252">
        <f t="shared" si="1"/>
        <v>4942920.7819204349</v>
      </c>
      <c r="X29" s="255"/>
      <c r="Y29" s="255"/>
      <c r="Z29" s="255"/>
      <c r="AA29" s="255"/>
    </row>
    <row r="30" spans="2:27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49">
        <v>24</v>
      </c>
      <c r="Q30" s="251">
        <f t="shared" ca="1" si="6"/>
        <v>46781</v>
      </c>
      <c r="R30" s="251" t="str">
        <f t="shared" ca="1" si="0"/>
        <v>January 2028</v>
      </c>
      <c r="S30" s="252">
        <f t="shared" si="2"/>
        <v>4236067.79981599</v>
      </c>
      <c r="T30" s="254">
        <f t="shared" si="4"/>
        <v>1079004.4763010032</v>
      </c>
      <c r="U30" s="254">
        <f t="shared" si="5"/>
        <v>1154950.8091666659</v>
      </c>
      <c r="V30" s="252">
        <f t="shared" si="3"/>
        <v>1458000</v>
      </c>
      <c r="W30" s="252">
        <f t="shared" si="1"/>
        <v>5012023.0852836594</v>
      </c>
      <c r="X30" s="255"/>
      <c r="Y30" s="255"/>
      <c r="Z30" s="255"/>
      <c r="AA30" s="255"/>
    </row>
    <row r="31" spans="2:27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49">
        <v>25</v>
      </c>
      <c r="Q31" s="251">
        <f t="shared" ca="1" si="6"/>
        <v>46811</v>
      </c>
      <c r="R31" s="251" t="str">
        <f t="shared" ca="1" si="0"/>
        <v>February 2028</v>
      </c>
      <c r="S31" s="252">
        <f t="shared" si="2"/>
        <v>4271368.3648144566</v>
      </c>
      <c r="T31" s="254">
        <f t="shared" si="4"/>
        <v>1097996.1802701782</v>
      </c>
      <c r="U31" s="254">
        <f t="shared" si="5"/>
        <v>1170209.5399999991</v>
      </c>
      <c r="V31" s="252">
        <f t="shared" si="3"/>
        <v>1458000</v>
      </c>
      <c r="W31" s="252">
        <f t="shared" si="1"/>
        <v>5081574.0850846339</v>
      </c>
      <c r="X31" s="255"/>
      <c r="Y31" s="255"/>
      <c r="Z31" s="255"/>
      <c r="AA31" s="255"/>
    </row>
    <row r="32" spans="2:27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49">
        <v>26</v>
      </c>
      <c r="Q32" s="251">
        <f t="shared" ca="1" si="6"/>
        <v>46841</v>
      </c>
      <c r="R32" s="251" t="str">
        <f t="shared" ca="1" si="0"/>
        <v>March 2028</v>
      </c>
      <c r="S32" s="252">
        <f t="shared" si="2"/>
        <v>4306963.10118791</v>
      </c>
      <c r="T32" s="254">
        <f t="shared" si="4"/>
        <v>1117146.1484390963</v>
      </c>
      <c r="U32" s="254">
        <f t="shared" si="5"/>
        <v>1185468.2708333323</v>
      </c>
      <c r="V32" s="252">
        <f t="shared" si="3"/>
        <v>1458000</v>
      </c>
      <c r="W32" s="252">
        <f t="shared" si="1"/>
        <v>5151577.5204603383</v>
      </c>
      <c r="X32" s="255"/>
      <c r="Y32" s="255"/>
      <c r="Z32" s="255"/>
      <c r="AA32" s="255"/>
    </row>
    <row r="33" spans="2:27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49">
        <v>27</v>
      </c>
      <c r="Q33" s="251">
        <f t="shared" ca="1" si="6"/>
        <v>46871</v>
      </c>
      <c r="R33" s="251" t="str">
        <f t="shared" ca="1" si="0"/>
        <v>April 2028</v>
      </c>
      <c r="S33" s="252">
        <f t="shared" si="2"/>
        <v>4342854.4603644758</v>
      </c>
      <c r="T33" s="254">
        <f t="shared" si="4"/>
        <v>1136455.6996760888</v>
      </c>
      <c r="U33" s="254">
        <f t="shared" si="5"/>
        <v>1200727.0016666655</v>
      </c>
      <c r="V33" s="252">
        <f t="shared" si="3"/>
        <v>1458000</v>
      </c>
      <c r="W33" s="252">
        <f t="shared" si="1"/>
        <v>5222037.1617072299</v>
      </c>
      <c r="X33" s="255"/>
      <c r="Y33" s="255"/>
      <c r="Z33" s="255"/>
      <c r="AA33" s="255"/>
    </row>
    <row r="34" spans="2:27" ht="33" x14ac:dyDescent="0.35">
      <c r="B34" s="160" t="s">
        <v>46</v>
      </c>
      <c r="C34" s="22"/>
      <c r="D34" s="107"/>
      <c r="E34" s="179">
        <f>M40</f>
        <v>804000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49">
        <v>28</v>
      </c>
      <c r="Q34" s="251">
        <f t="shared" ca="1" si="6"/>
        <v>46901</v>
      </c>
      <c r="R34" s="251" t="str">
        <f t="shared" ca="1" si="0"/>
        <v>May 2028</v>
      </c>
      <c r="S34" s="252">
        <f t="shared" si="2"/>
        <v>4379044.9142008461</v>
      </c>
      <c r="T34" s="254">
        <f t="shared" si="4"/>
        <v>1155926.1638400562</v>
      </c>
      <c r="U34" s="254">
        <f t="shared" si="5"/>
        <v>1215985.7324999988</v>
      </c>
      <c r="V34" s="252">
        <f t="shared" si="3"/>
        <v>1458000</v>
      </c>
      <c r="W34" s="252">
        <f t="shared" si="1"/>
        <v>5292956.8105409015</v>
      </c>
      <c r="X34" s="255"/>
      <c r="Y34" s="255"/>
      <c r="Z34" s="255"/>
      <c r="AA34" s="255"/>
    </row>
    <row r="35" spans="2:27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49">
        <v>29</v>
      </c>
      <c r="Q35" s="251">
        <f t="shared" ca="1" si="6"/>
        <v>46931</v>
      </c>
      <c r="R35" s="251" t="str">
        <f t="shared" ca="1" si="0"/>
        <v>June 2028</v>
      </c>
      <c r="S35" s="252">
        <f t="shared" si="2"/>
        <v>4415536.95515252</v>
      </c>
      <c r="T35" s="254">
        <f t="shared" si="4"/>
        <v>1175558.8818720565</v>
      </c>
      <c r="U35" s="254">
        <f t="shared" si="5"/>
        <v>1231244.463333332</v>
      </c>
      <c r="V35" s="252">
        <f t="shared" si="3"/>
        <v>1458000</v>
      </c>
      <c r="W35" s="252">
        <f t="shared" si="1"/>
        <v>5364340.3003579089</v>
      </c>
      <c r="X35" s="255"/>
      <c r="Y35" s="255"/>
      <c r="Z35" s="255"/>
      <c r="AA35" s="255"/>
    </row>
    <row r="36" spans="2:27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49">
        <v>30</v>
      </c>
      <c r="Q36" s="251">
        <f t="shared" ca="1" si="6"/>
        <v>46961</v>
      </c>
      <c r="R36" s="251" t="str">
        <f t="shared" ca="1" si="0"/>
        <v>July 2028</v>
      </c>
      <c r="S36" s="252">
        <f t="shared" si="2"/>
        <v>4452333.0964454571</v>
      </c>
      <c r="T36" s="254">
        <f t="shared" si="4"/>
        <v>1195355.2058876569</v>
      </c>
      <c r="U36" s="254">
        <f t="shared" si="5"/>
        <v>1246503.1941666652</v>
      </c>
      <c r="V36" s="252">
        <f t="shared" si="3"/>
        <v>1458000</v>
      </c>
      <c r="W36" s="252">
        <f t="shared" si="1"/>
        <v>5436191.4964997787</v>
      </c>
      <c r="X36" s="255"/>
      <c r="Y36" s="255"/>
      <c r="Z36" s="255"/>
      <c r="AA36" s="255"/>
    </row>
    <row r="37" spans="2:27" ht="31" x14ac:dyDescent="0.3">
      <c r="B37" s="160" t="s">
        <v>51</v>
      </c>
      <c r="C37" s="22"/>
      <c r="D37" s="107"/>
      <c r="E37" s="179">
        <f>M43</f>
        <v>171000</v>
      </c>
      <c r="G37" s="97" t="s">
        <v>61</v>
      </c>
      <c r="H37" s="22"/>
      <c r="I37" s="184"/>
      <c r="K37" s="205"/>
      <c r="L37" s="206"/>
      <c r="M37" s="205"/>
      <c r="N37" s="210"/>
      <c r="P37" s="249">
        <v>31</v>
      </c>
      <c r="Q37" s="251">
        <f t="shared" ca="1" si="6"/>
        <v>46991</v>
      </c>
      <c r="R37" s="251" t="str">
        <f t="shared" ca="1" si="0"/>
        <v>August 2028</v>
      </c>
      <c r="S37" s="252">
        <f t="shared" si="2"/>
        <v>4489435.8722491693</v>
      </c>
      <c r="T37" s="254">
        <f t="shared" si="4"/>
        <v>1215316.499270054</v>
      </c>
      <c r="U37" s="254">
        <f t="shared" si="5"/>
        <v>1261761.9249999984</v>
      </c>
      <c r="V37" s="252">
        <f t="shared" si="3"/>
        <v>1458000</v>
      </c>
      <c r="W37" s="252">
        <f t="shared" si="1"/>
        <v>5508514.2965192217</v>
      </c>
      <c r="X37" s="255"/>
      <c r="Y37" s="255"/>
      <c r="Z37" s="255"/>
      <c r="AA37" s="255"/>
    </row>
    <row r="38" spans="2:27" ht="29" customHeight="1" thickBot="1" x14ac:dyDescent="0.4">
      <c r="B38" s="160" t="s">
        <v>52</v>
      </c>
      <c r="C38" s="22"/>
      <c r="D38" s="107"/>
      <c r="E38" s="179">
        <f>M44</f>
        <v>162000</v>
      </c>
      <c r="G38" s="97"/>
      <c r="H38" s="22"/>
      <c r="I38" s="185"/>
      <c r="K38" s="205"/>
      <c r="L38" s="215"/>
      <c r="M38" s="216"/>
      <c r="N38" s="210"/>
      <c r="P38" s="249">
        <v>32</v>
      </c>
      <c r="Q38" s="251">
        <f t="shared" ca="1" si="6"/>
        <v>47021</v>
      </c>
      <c r="R38" s="251" t="str">
        <f t="shared" ca="1" si="0"/>
        <v>September 2028</v>
      </c>
      <c r="S38" s="252">
        <f t="shared" si="2"/>
        <v>4526847.8378512459</v>
      </c>
      <c r="T38" s="254">
        <f t="shared" si="4"/>
        <v>1235444.1367639711</v>
      </c>
      <c r="U38" s="254">
        <f t="shared" si="5"/>
        <v>1277020.6558333316</v>
      </c>
      <c r="V38" s="252">
        <f t="shared" si="3"/>
        <v>1458000</v>
      </c>
      <c r="W38" s="252">
        <f t="shared" si="1"/>
        <v>5581312.6304485491</v>
      </c>
      <c r="X38" s="255"/>
      <c r="Y38" s="255"/>
      <c r="Z38" s="255"/>
      <c r="AA38" s="255"/>
    </row>
    <row r="39" spans="2:27" ht="33" x14ac:dyDescent="0.35">
      <c r="B39" s="160" t="s">
        <v>54</v>
      </c>
      <c r="C39" s="22"/>
      <c r="D39" s="107"/>
      <c r="E39" s="179">
        <f>M45</f>
        <v>350000</v>
      </c>
      <c r="G39" s="97"/>
      <c r="H39" s="22"/>
      <c r="I39" s="185"/>
      <c r="K39" s="205"/>
      <c r="L39" s="241" t="s">
        <v>49</v>
      </c>
      <c r="M39" s="243"/>
      <c r="N39" s="210"/>
      <c r="P39" s="249">
        <v>33</v>
      </c>
      <c r="Q39" s="251">
        <f t="shared" ca="1" si="6"/>
        <v>47051</v>
      </c>
      <c r="R39" s="251" t="str">
        <f t="shared" ref="R39:R66" ca="1" si="8">TEXT($Q39,"MMMM")&amp;TEXT($Q39," YYYY")</f>
        <v>October 2028</v>
      </c>
      <c r="S39" s="252">
        <f t="shared" si="2"/>
        <v>4564571.5698333392</v>
      </c>
      <c r="T39" s="254">
        <f t="shared" si="4"/>
        <v>1255739.5045703375</v>
      </c>
      <c r="U39" s="254">
        <f t="shared" si="5"/>
        <v>1292279.3866666649</v>
      </c>
      <c r="V39" s="252">
        <f t="shared" si="3"/>
        <v>1458000</v>
      </c>
      <c r="W39" s="252">
        <f t="shared" ref="W39:W66" si="9">SUM(S39:U39)-V39</f>
        <v>5654590.461070342</v>
      </c>
      <c r="X39" s="255"/>
      <c r="Y39" s="255"/>
      <c r="Z39" s="255"/>
      <c r="AA39" s="255"/>
    </row>
    <row r="40" spans="2:27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804000</v>
      </c>
      <c r="N40" s="210"/>
      <c r="P40" s="249">
        <v>34</v>
      </c>
      <c r="Q40" s="251">
        <f t="shared" ca="1" si="6"/>
        <v>47081</v>
      </c>
      <c r="R40" s="251" t="str">
        <f t="shared" ca="1" si="8"/>
        <v>November 2028</v>
      </c>
      <c r="S40" s="252">
        <f t="shared" ref="S40:S66" si="10">($U$1/12+1)*S39</f>
        <v>4602609.6662486168</v>
      </c>
      <c r="T40" s="254">
        <f t="shared" si="4"/>
        <v>1276204.000441757</v>
      </c>
      <c r="U40" s="254">
        <f t="shared" si="5"/>
        <v>1307538.1174999981</v>
      </c>
      <c r="V40" s="252">
        <f t="shared" si="3"/>
        <v>1458000</v>
      </c>
      <c r="W40" s="252">
        <f t="shared" si="9"/>
        <v>5728351.7841903716</v>
      </c>
      <c r="X40" s="255"/>
      <c r="Y40" s="255"/>
      <c r="Z40" s="255"/>
      <c r="AA40" s="255"/>
    </row>
    <row r="41" spans="2:27" ht="33" x14ac:dyDescent="0.35">
      <c r="B41" s="160" t="s">
        <v>65</v>
      </c>
      <c r="C41" s="22"/>
      <c r="D41" s="107"/>
      <c r="E41" s="179">
        <f>M47</f>
        <v>200000</v>
      </c>
      <c r="G41" s="97"/>
      <c r="H41" s="22"/>
      <c r="I41" s="185"/>
      <c r="K41" s="205"/>
      <c r="L41" s="212" t="s">
        <v>78</v>
      </c>
      <c r="M41" s="223"/>
      <c r="N41" s="210"/>
      <c r="P41" s="249">
        <v>35</v>
      </c>
      <c r="Q41" s="251">
        <f t="shared" ca="1" si="6"/>
        <v>47111</v>
      </c>
      <c r="R41" s="251" t="str">
        <f t="shared" ca="1" si="8"/>
        <v>December 2028</v>
      </c>
      <c r="S41" s="252">
        <f t="shared" si="10"/>
        <v>4640964.7468006881</v>
      </c>
      <c r="T41" s="254">
        <f t="shared" si="4"/>
        <v>1296839.0337787715</v>
      </c>
      <c r="U41" s="254">
        <f t="shared" si="5"/>
        <v>1322796.8483333313</v>
      </c>
      <c r="V41" s="252">
        <f t="shared" si="3"/>
        <v>1458000</v>
      </c>
      <c r="W41" s="252">
        <f t="shared" si="9"/>
        <v>5802600.6289127916</v>
      </c>
      <c r="X41" s="255"/>
      <c r="Y41" s="255"/>
      <c r="Z41" s="255"/>
      <c r="AA41" s="255"/>
    </row>
    <row r="42" spans="2:27" ht="33" x14ac:dyDescent="0.35">
      <c r="B42" s="160" t="s">
        <v>66</v>
      </c>
      <c r="C42" s="22"/>
      <c r="D42" s="107"/>
      <c r="E42" s="179">
        <f>M48</f>
        <v>200000</v>
      </c>
      <c r="G42" s="97"/>
      <c r="H42" s="22"/>
      <c r="I42" s="185"/>
      <c r="K42" s="205"/>
      <c r="L42" s="212"/>
      <c r="M42" s="213"/>
      <c r="N42" s="210"/>
      <c r="P42" s="249">
        <v>36</v>
      </c>
      <c r="Q42" s="251">
        <f t="shared" ca="1" si="6"/>
        <v>47141</v>
      </c>
      <c r="R42" s="251" t="str">
        <f t="shared" ca="1" si="8"/>
        <v>January 2029</v>
      </c>
      <c r="S42" s="252">
        <f t="shared" si="10"/>
        <v>4679639.4530240269</v>
      </c>
      <c r="T42" s="254">
        <f t="shared" si="4"/>
        <v>1317646.0257269279</v>
      </c>
      <c r="U42" s="254">
        <f t="shared" si="5"/>
        <v>1338055.5791666645</v>
      </c>
      <c r="V42" s="252">
        <f t="shared" si="3"/>
        <v>1458000</v>
      </c>
      <c r="W42" s="252">
        <f t="shared" si="9"/>
        <v>5877341.0579176201</v>
      </c>
      <c r="X42" s="255"/>
      <c r="Y42" s="255"/>
      <c r="Z42" s="255"/>
      <c r="AA42" s="255"/>
    </row>
    <row r="43" spans="2:27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171000</v>
      </c>
      <c r="N43" s="210"/>
      <c r="P43" s="249">
        <v>37</v>
      </c>
      <c r="Q43" s="251">
        <f t="shared" ca="1" si="6"/>
        <v>47171</v>
      </c>
      <c r="R43" s="251" t="str">
        <f t="shared" ca="1" si="8"/>
        <v>February 2029</v>
      </c>
      <c r="S43" s="252">
        <f t="shared" si="10"/>
        <v>4718636.448465894</v>
      </c>
      <c r="T43" s="254">
        <f t="shared" si="4"/>
        <v>1338626.4092746524</v>
      </c>
      <c r="U43" s="254">
        <f t="shared" si="5"/>
        <v>1353314.3099999977</v>
      </c>
      <c r="V43" s="252">
        <f t="shared" si="3"/>
        <v>1458000</v>
      </c>
      <c r="W43" s="252">
        <f t="shared" si="9"/>
        <v>5952577.1677405443</v>
      </c>
      <c r="X43" s="255"/>
      <c r="Y43" s="255"/>
      <c r="Z43" s="255"/>
      <c r="AA43" s="255"/>
    </row>
    <row r="44" spans="2:27" ht="33" x14ac:dyDescent="0.35">
      <c r="B44" s="160" t="s">
        <v>2</v>
      </c>
      <c r="D44" s="182">
        <f>E44-I44</f>
        <v>1076000</v>
      </c>
      <c r="E44" s="179">
        <f>M50</f>
        <v>1900000</v>
      </c>
      <c r="G44" s="97" t="s">
        <v>6</v>
      </c>
      <c r="H44" s="22"/>
      <c r="I44" s="109">
        <f>M62</f>
        <v>824000</v>
      </c>
      <c r="K44" s="205"/>
      <c r="L44" s="212" t="s">
        <v>80</v>
      </c>
      <c r="M44" s="223">
        <v>162000</v>
      </c>
      <c r="N44" s="210"/>
      <c r="P44" s="249">
        <v>38</v>
      </c>
      <c r="Q44" s="251">
        <f t="shared" ca="1" si="6"/>
        <v>47201</v>
      </c>
      <c r="R44" s="251" t="str">
        <f t="shared" ca="1" si="8"/>
        <v>March 2029</v>
      </c>
      <c r="S44" s="252">
        <f t="shared" si="10"/>
        <v>4757958.4188697767</v>
      </c>
      <c r="T44" s="254">
        <f t="shared" si="4"/>
        <v>1359781.6293519412</v>
      </c>
      <c r="U44" s="254">
        <f t="shared" si="5"/>
        <v>1368573.0408333309</v>
      </c>
      <c r="V44" s="252">
        <f t="shared" si="3"/>
        <v>1458000</v>
      </c>
      <c r="W44" s="252">
        <f t="shared" si="9"/>
        <v>6028313.0890550483</v>
      </c>
      <c r="X44" s="255"/>
      <c r="Y44" s="255"/>
      <c r="Z44" s="255"/>
      <c r="AA44" s="255"/>
    </row>
    <row r="45" spans="2:27" ht="33" x14ac:dyDescent="0.35">
      <c r="B45" s="160" t="str">
        <f>L51</f>
        <v>Investment 1 - Forest Lake value</v>
      </c>
      <c r="D45" s="182">
        <f>E45-I45</f>
        <v>438000</v>
      </c>
      <c r="E45" s="179">
        <f>M51</f>
        <v>950000</v>
      </c>
      <c r="G45" s="97" t="s">
        <v>3</v>
      </c>
      <c r="H45" s="22"/>
      <c r="I45" s="109">
        <f>M64</f>
        <v>512000</v>
      </c>
      <c r="K45" s="205"/>
      <c r="L45" s="212" t="s">
        <v>81</v>
      </c>
      <c r="M45" s="223">
        <v>350000</v>
      </c>
      <c r="N45" s="210"/>
      <c r="P45" s="249">
        <v>39</v>
      </c>
      <c r="Q45" s="251">
        <f t="shared" ca="1" si="6"/>
        <v>47231</v>
      </c>
      <c r="R45" s="251" t="str">
        <f t="shared" ca="1" si="8"/>
        <v>April 2029</v>
      </c>
      <c r="S45" s="252">
        <f t="shared" si="10"/>
        <v>4797608.0723603582</v>
      </c>
      <c r="T45" s="254">
        <f t="shared" si="4"/>
        <v>1381113.1429298739</v>
      </c>
      <c r="U45" s="254">
        <f t="shared" si="5"/>
        <v>1383831.7716666642</v>
      </c>
      <c r="V45" s="252">
        <f t="shared" si="3"/>
        <v>1458000</v>
      </c>
      <c r="W45" s="252">
        <f t="shared" si="9"/>
        <v>6104552.9869568963</v>
      </c>
      <c r="X45" s="255"/>
      <c r="Y45" s="255"/>
      <c r="Z45" s="255"/>
      <c r="AA45" s="255"/>
    </row>
    <row r="46" spans="2:27" ht="33" x14ac:dyDescent="0.35">
      <c r="B46" s="160" t="str">
        <f>L52</f>
        <v>Investment 2 - Strathpine value</v>
      </c>
      <c r="D46" s="182">
        <f>E46-I46</f>
        <v>530000</v>
      </c>
      <c r="E46" s="179">
        <f>M52</f>
        <v>650000</v>
      </c>
      <c r="G46" s="97" t="s">
        <v>4</v>
      </c>
      <c r="H46" s="22"/>
      <c r="I46" s="109">
        <f>M65</f>
        <v>120000</v>
      </c>
      <c r="K46" s="205"/>
      <c r="L46" s="212"/>
      <c r="M46" s="213"/>
      <c r="N46" s="210"/>
      <c r="P46" s="249">
        <v>40</v>
      </c>
      <c r="Q46" s="251">
        <f t="shared" ca="1" si="6"/>
        <v>47261</v>
      </c>
      <c r="R46" s="251" t="str">
        <f t="shared" ca="1" si="8"/>
        <v>May 2029</v>
      </c>
      <c r="S46" s="252">
        <f t="shared" si="10"/>
        <v>4837588.139630028</v>
      </c>
      <c r="T46" s="254">
        <f t="shared" si="4"/>
        <v>1402622.4191209562</v>
      </c>
      <c r="U46" s="254">
        <f t="shared" si="5"/>
        <v>1399090.5024999974</v>
      </c>
      <c r="V46" s="252">
        <f t="shared" si="3"/>
        <v>1458000</v>
      </c>
      <c r="W46" s="252">
        <f t="shared" si="9"/>
        <v>6181301.0612509819</v>
      </c>
      <c r="X46" s="255"/>
      <c r="Y46" s="255"/>
      <c r="Z46" s="255"/>
      <c r="AA46" s="255"/>
    </row>
    <row r="47" spans="2:27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200000</v>
      </c>
      <c r="N47" s="210"/>
      <c r="P47" s="249">
        <v>41</v>
      </c>
      <c r="Q47" s="251">
        <f t="shared" ca="1" si="6"/>
        <v>47291</v>
      </c>
      <c r="R47" s="251" t="str">
        <f t="shared" ca="1" si="8"/>
        <v>June 2029</v>
      </c>
      <c r="S47" s="252">
        <f t="shared" si="10"/>
        <v>4877901.3741269447</v>
      </c>
      <c r="T47" s="254">
        <f t="shared" si="4"/>
        <v>1424310.9392802974</v>
      </c>
      <c r="U47" s="254">
        <f t="shared" si="5"/>
        <v>1414349.2333333306</v>
      </c>
      <c r="V47" s="252">
        <f t="shared" si="3"/>
        <v>1458000</v>
      </c>
      <c r="W47" s="252">
        <f t="shared" si="9"/>
        <v>6258561.5467405729</v>
      </c>
      <c r="X47" s="255"/>
      <c r="Y47" s="255"/>
      <c r="Z47" s="255"/>
      <c r="AA47" s="255"/>
    </row>
    <row r="48" spans="2:27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>
        <v>200000</v>
      </c>
      <c r="N48" s="219"/>
      <c r="P48" s="249">
        <v>42</v>
      </c>
      <c r="Q48" s="251">
        <f t="shared" ca="1" si="6"/>
        <v>47321</v>
      </c>
      <c r="R48" s="251" t="str">
        <f t="shared" ca="1" si="8"/>
        <v>July 2029</v>
      </c>
      <c r="S48" s="252">
        <f t="shared" si="10"/>
        <v>4918550.5522446688</v>
      </c>
      <c r="T48" s="254">
        <f t="shared" si="4"/>
        <v>1446180.1971076331</v>
      </c>
      <c r="U48" s="254">
        <f t="shared" si="5"/>
        <v>1429607.9641666638</v>
      </c>
      <c r="V48" s="252">
        <f t="shared" si="3"/>
        <v>1458000</v>
      </c>
      <c r="W48" s="252">
        <f t="shared" si="9"/>
        <v>6336338.713518966</v>
      </c>
      <c r="X48" s="255"/>
      <c r="Y48" s="255"/>
      <c r="Z48" s="255"/>
      <c r="AA48" s="255"/>
    </row>
    <row r="49" spans="2:27" ht="34" thickBot="1" x14ac:dyDescent="0.4">
      <c r="B49" s="128" t="s">
        <v>156</v>
      </c>
      <c r="C49" s="108"/>
      <c r="D49" s="107"/>
      <c r="E49" s="148">
        <f>SUM(E34:E48)</f>
        <v>5387000</v>
      </c>
      <c r="G49" s="63"/>
      <c r="H49" s="38"/>
      <c r="I49" s="53"/>
      <c r="K49" s="205"/>
      <c r="L49" s="212"/>
      <c r="M49" s="213"/>
      <c r="N49" s="210"/>
      <c r="P49" s="249">
        <v>43</v>
      </c>
      <c r="Q49" s="251">
        <f t="shared" ca="1" si="6"/>
        <v>47351</v>
      </c>
      <c r="R49" s="251" t="str">
        <f t="shared" ca="1" si="8"/>
        <v>August 2029</v>
      </c>
      <c r="S49" s="252">
        <f t="shared" si="10"/>
        <v>4959538.4735133741</v>
      </c>
      <c r="T49" s="254">
        <f t="shared" si="4"/>
        <v>1468231.6987501967</v>
      </c>
      <c r="U49" s="254">
        <f t="shared" si="5"/>
        <v>1444866.694999997</v>
      </c>
      <c r="V49" s="252">
        <f t="shared" si="3"/>
        <v>1458000</v>
      </c>
      <c r="W49" s="252">
        <f t="shared" si="9"/>
        <v>6414636.8672635686</v>
      </c>
      <c r="X49" s="255"/>
      <c r="Y49" s="255"/>
      <c r="Z49" s="255"/>
      <c r="AA49" s="255"/>
    </row>
    <row r="50" spans="2:27" s="17" customFormat="1" ht="34" thickBot="1" x14ac:dyDescent="0.4">
      <c r="B50" s="186" t="s">
        <v>60</v>
      </c>
      <c r="C50" s="187"/>
      <c r="D50" s="187"/>
      <c r="E50" s="188">
        <f>SUM(E49-E42-E41)</f>
        <v>4987000</v>
      </c>
      <c r="G50" s="64" t="s">
        <v>59</v>
      </c>
      <c r="H50" s="51"/>
      <c r="I50" s="52">
        <f>SUM(I35:I49)</f>
        <v>1458000</v>
      </c>
      <c r="K50" s="206"/>
      <c r="L50" s="212" t="s">
        <v>82</v>
      </c>
      <c r="M50" s="223">
        <v>1900000</v>
      </c>
      <c r="N50" s="210"/>
      <c r="O50" s="18"/>
      <c r="P50" s="249">
        <v>44</v>
      </c>
      <c r="Q50" s="251">
        <f t="shared" ca="1" si="6"/>
        <v>47381</v>
      </c>
      <c r="R50" s="251" t="str">
        <f t="shared" ca="1" si="8"/>
        <v>September 2029</v>
      </c>
      <c r="S50" s="252">
        <f t="shared" si="10"/>
        <v>5000867.9607926523</v>
      </c>
      <c r="T50" s="254">
        <f t="shared" si="4"/>
        <v>1490466.9629064484</v>
      </c>
      <c r="U50" s="254">
        <f t="shared" si="5"/>
        <v>1460125.4258333303</v>
      </c>
      <c r="V50" s="252">
        <f t="shared" si="3"/>
        <v>1458000</v>
      </c>
      <c r="W50" s="252">
        <f t="shared" si="9"/>
        <v>6493460.349532431</v>
      </c>
      <c r="X50" s="255"/>
      <c r="Y50" s="256"/>
      <c r="Z50" s="256"/>
      <c r="AA50" s="256"/>
    </row>
    <row r="51" spans="2:27" s="17" customFormat="1" ht="34" thickBot="1" x14ac:dyDescent="0.4">
      <c r="K51" s="206"/>
      <c r="L51" s="212" t="s">
        <v>169</v>
      </c>
      <c r="M51" s="223">
        <v>950000</v>
      </c>
      <c r="N51" s="205"/>
      <c r="O51" s="18"/>
      <c r="P51" s="249">
        <v>45</v>
      </c>
      <c r="Q51" s="251">
        <f t="shared" ca="1" si="6"/>
        <v>47411</v>
      </c>
      <c r="R51" s="251" t="str">
        <f t="shared" ca="1" si="8"/>
        <v>October 2029</v>
      </c>
      <c r="S51" s="252">
        <f t="shared" si="10"/>
        <v>5042541.8604659243</v>
      </c>
      <c r="T51" s="254">
        <f t="shared" si="4"/>
        <v>1512887.5209306688</v>
      </c>
      <c r="U51" s="254">
        <f t="shared" si="5"/>
        <v>1475384.1566666635</v>
      </c>
      <c r="V51" s="252">
        <f t="shared" si="3"/>
        <v>1458000</v>
      </c>
      <c r="W51" s="252">
        <f t="shared" si="9"/>
        <v>6572813.538063257</v>
      </c>
      <c r="X51" s="255"/>
      <c r="Y51" s="256"/>
      <c r="Z51" s="256"/>
      <c r="AA51" s="256"/>
    </row>
    <row r="52" spans="2:27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650000</v>
      </c>
      <c r="N52" s="205"/>
      <c r="O52" s="18"/>
      <c r="P52" s="249">
        <v>46</v>
      </c>
      <c r="Q52" s="251">
        <f t="shared" ca="1" si="6"/>
        <v>47441</v>
      </c>
      <c r="R52" s="251" t="str">
        <f t="shared" ca="1" si="8"/>
        <v>November 2029</v>
      </c>
      <c r="S52" s="252">
        <f t="shared" si="10"/>
        <v>5084563.0426364737</v>
      </c>
      <c r="T52" s="254">
        <f t="shared" si="4"/>
        <v>1535494.9169384243</v>
      </c>
      <c r="U52" s="254">
        <f t="shared" si="5"/>
        <v>1490642.8874999967</v>
      </c>
      <c r="V52" s="252">
        <f t="shared" si="3"/>
        <v>1458000</v>
      </c>
      <c r="W52" s="252">
        <f t="shared" si="9"/>
        <v>6652700.8470748942</v>
      </c>
      <c r="X52" s="255"/>
      <c r="Y52" s="256"/>
      <c r="Z52" s="256"/>
      <c r="AA52" s="256"/>
    </row>
    <row r="53" spans="2:27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49">
        <v>47</v>
      </c>
      <c r="Q53" s="251">
        <f t="shared" ca="1" si="6"/>
        <v>47471</v>
      </c>
      <c r="R53" s="251" t="str">
        <f t="shared" ca="1" si="8"/>
        <v>December 2029</v>
      </c>
      <c r="S53" s="252">
        <f t="shared" si="10"/>
        <v>5126934.4013251103</v>
      </c>
      <c r="T53" s="254">
        <f t="shared" si="4"/>
        <v>1558290.7079129112</v>
      </c>
      <c r="U53" s="254">
        <f t="shared" si="5"/>
        <v>1505901.6183333299</v>
      </c>
      <c r="V53" s="252">
        <f t="shared" si="3"/>
        <v>1458000</v>
      </c>
      <c r="W53" s="252">
        <f t="shared" si="9"/>
        <v>6733126.7275713515</v>
      </c>
      <c r="X53" s="255"/>
      <c r="Y53" s="256"/>
      <c r="Z53" s="256"/>
      <c r="AA53" s="256"/>
    </row>
    <row r="54" spans="2:27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49">
        <v>48</v>
      </c>
      <c r="Q54" s="251">
        <f t="shared" ca="1" si="6"/>
        <v>47501</v>
      </c>
      <c r="R54" s="251" t="str">
        <f t="shared" ca="1" si="8"/>
        <v>January 2030</v>
      </c>
      <c r="S54" s="252">
        <f t="shared" si="10"/>
        <v>5169658.8546694862</v>
      </c>
      <c r="T54" s="254">
        <f t="shared" si="4"/>
        <v>1581276.4638121855</v>
      </c>
      <c r="U54" s="254">
        <f t="shared" si="5"/>
        <v>1521160.3491666631</v>
      </c>
      <c r="V54" s="252">
        <f t="shared" si="3"/>
        <v>1458000</v>
      </c>
      <c r="W54" s="252">
        <f t="shared" si="9"/>
        <v>6814095.667648335</v>
      </c>
      <c r="X54" s="255"/>
      <c r="Y54" s="256"/>
      <c r="Z54" s="256"/>
      <c r="AA54" s="256"/>
    </row>
    <row r="55" spans="2:27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49">
        <v>49</v>
      </c>
      <c r="Q55" s="251">
        <f t="shared" ca="1" si="6"/>
        <v>47531</v>
      </c>
      <c r="R55" s="251" t="str">
        <f t="shared" ca="1" si="8"/>
        <v>February 2030</v>
      </c>
      <c r="S55" s="252">
        <f t="shared" si="10"/>
        <v>5212739.3451250652</v>
      </c>
      <c r="T55" s="254">
        <f t="shared" si="4"/>
        <v>1604453.7676772869</v>
      </c>
      <c r="U55" s="254">
        <f t="shared" si="5"/>
        <v>1536419.0799999963</v>
      </c>
      <c r="V55" s="252">
        <f t="shared" si="3"/>
        <v>1458000</v>
      </c>
      <c r="W55" s="252">
        <f t="shared" si="9"/>
        <v>6895612.1928023482</v>
      </c>
      <c r="X55" s="255"/>
      <c r="Y55" s="256"/>
      <c r="Z55" s="256"/>
      <c r="AA55" s="256"/>
    </row>
    <row r="56" spans="2:27" s="17" customFormat="1" ht="46" thickBot="1" x14ac:dyDescent="0.5">
      <c r="B56" s="197" t="s">
        <v>160</v>
      </c>
      <c r="C56" s="198"/>
      <c r="D56" s="199">
        <f>E50-I50</f>
        <v>3529000</v>
      </c>
      <c r="E56" s="200"/>
      <c r="F56" s="201"/>
      <c r="G56" s="202" t="s">
        <v>158</v>
      </c>
      <c r="H56" s="203" t="s">
        <v>114</v>
      </c>
      <c r="I56" s="204">
        <f>I17-I28</f>
        <v>15258.730833333333</v>
      </c>
      <c r="J56" s="18"/>
      <c r="K56" s="205"/>
      <c r="L56" s="241" t="s">
        <v>87</v>
      </c>
      <c r="M56" s="243"/>
      <c r="N56" s="205"/>
      <c r="O56" s="18"/>
      <c r="P56" s="249">
        <v>50</v>
      </c>
      <c r="Q56" s="251">
        <f t="shared" ca="1" si="6"/>
        <v>47561</v>
      </c>
      <c r="R56" s="251" t="str">
        <f t="shared" ca="1" si="8"/>
        <v>March 2030</v>
      </c>
      <c r="S56" s="252">
        <f t="shared" si="10"/>
        <v>5256178.8396677738</v>
      </c>
      <c r="T56" s="254">
        <f t="shared" si="4"/>
        <v>1627824.2157412642</v>
      </c>
      <c r="U56" s="254">
        <f t="shared" si="5"/>
        <v>1551677.8108333296</v>
      </c>
      <c r="V56" s="252">
        <f t="shared" si="3"/>
        <v>1458000</v>
      </c>
      <c r="W56" s="252">
        <f t="shared" si="9"/>
        <v>6977680.8662423678</v>
      </c>
      <c r="X56" s="255"/>
      <c r="Y56" s="256"/>
      <c r="Z56" s="256"/>
      <c r="AA56" s="256"/>
    </row>
    <row r="57" spans="2:27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49">
        <v>51</v>
      </c>
      <c r="Q57" s="251">
        <f t="shared" ca="1" si="6"/>
        <v>47591</v>
      </c>
      <c r="R57" s="251" t="str">
        <f t="shared" ca="1" si="8"/>
        <v>April 2030</v>
      </c>
      <c r="S57" s="252">
        <f t="shared" si="10"/>
        <v>5299980.3299983386</v>
      </c>
      <c r="T57" s="254">
        <f t="shared" si="4"/>
        <v>1651389.4175391081</v>
      </c>
      <c r="U57" s="254">
        <f t="shared" si="5"/>
        <v>1566936.5416666628</v>
      </c>
      <c r="V57" s="252">
        <f t="shared" si="3"/>
        <v>1458000</v>
      </c>
      <c r="W57" s="252">
        <f t="shared" si="9"/>
        <v>7060306.2892041095</v>
      </c>
      <c r="X57" s="255"/>
      <c r="Y57" s="255"/>
      <c r="Z57" s="255"/>
      <c r="AA57" s="255"/>
    </row>
    <row r="58" spans="2:27" ht="33" x14ac:dyDescent="0.35">
      <c r="B58" s="135" t="s">
        <v>159</v>
      </c>
      <c r="C58" s="130"/>
      <c r="D58" s="101">
        <f>E49-I50</f>
        <v>3929000</v>
      </c>
      <c r="E58" s="130"/>
      <c r="G58" s="115" t="s">
        <v>113</v>
      </c>
      <c r="H58" s="115" t="s">
        <v>115</v>
      </c>
      <c r="I58" s="189">
        <f>I56*12</f>
        <v>183104.77</v>
      </c>
      <c r="K58" s="205"/>
      <c r="L58" s="212" t="s">
        <v>45</v>
      </c>
      <c r="M58" s="223">
        <v>3000</v>
      </c>
      <c r="N58" s="205"/>
      <c r="P58" s="249">
        <v>52</v>
      </c>
      <c r="Q58" s="251">
        <f t="shared" ca="1" si="6"/>
        <v>47621</v>
      </c>
      <c r="R58" s="251" t="str">
        <f t="shared" ca="1" si="8"/>
        <v>May 2030</v>
      </c>
      <c r="S58" s="252">
        <f t="shared" si="10"/>
        <v>5344146.8327483246</v>
      </c>
      <c r="T58" s="254">
        <f t="shared" si="4"/>
        <v>1675150.9960186007</v>
      </c>
      <c r="U58" s="254">
        <f t="shared" si="5"/>
        <v>1582195.272499996</v>
      </c>
      <c r="V58" s="252">
        <f t="shared" si="3"/>
        <v>1458000</v>
      </c>
      <c r="W58" s="252">
        <f t="shared" si="9"/>
        <v>7143493.1012669206</v>
      </c>
      <c r="X58" s="255"/>
      <c r="Y58" s="255"/>
      <c r="Z58" s="255"/>
      <c r="AA58" s="255"/>
    </row>
    <row r="59" spans="2:27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49">
        <v>53</v>
      </c>
      <c r="Q59" s="251">
        <f t="shared" ca="1" si="6"/>
        <v>47651</v>
      </c>
      <c r="R59" s="251" t="str">
        <f t="shared" ca="1" si="8"/>
        <v>June 2030</v>
      </c>
      <c r="S59" s="252">
        <f t="shared" si="10"/>
        <v>5388681.3896878939</v>
      </c>
      <c r="T59" s="254">
        <f t="shared" si="4"/>
        <v>1699110.5876520888</v>
      </c>
      <c r="U59" s="254">
        <f t="shared" si="5"/>
        <v>1597454.0033333292</v>
      </c>
      <c r="V59" s="252">
        <f t="shared" si="3"/>
        <v>1458000</v>
      </c>
      <c r="W59" s="252">
        <f t="shared" si="9"/>
        <v>7227245.9806733131</v>
      </c>
      <c r="X59" s="255"/>
      <c r="Y59" s="256"/>
      <c r="Z59" s="256"/>
      <c r="AA59" s="256"/>
    </row>
    <row r="60" spans="2:27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49">
        <v>54</v>
      </c>
      <c r="Q60" s="251">
        <f t="shared" ca="1" si="6"/>
        <v>47681</v>
      </c>
      <c r="R60" s="251" t="str">
        <f t="shared" ca="1" si="8"/>
        <v>July 2030</v>
      </c>
      <c r="S60" s="252">
        <f t="shared" si="10"/>
        <v>5433587.0679352926</v>
      </c>
      <c r="T60" s="254">
        <f t="shared" si="4"/>
        <v>1723269.8425491895</v>
      </c>
      <c r="U60" s="254">
        <f t="shared" si="5"/>
        <v>1612712.7341666624</v>
      </c>
      <c r="V60" s="252">
        <f t="shared" si="3"/>
        <v>1458000</v>
      </c>
      <c r="W60" s="252">
        <f t="shared" si="9"/>
        <v>7311569.6446511447</v>
      </c>
      <c r="X60" s="255"/>
      <c r="Y60" s="256"/>
      <c r="Z60" s="256"/>
      <c r="AA60" s="256"/>
    </row>
    <row r="61" spans="2:27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49">
        <v>55</v>
      </c>
      <c r="Q61" s="251">
        <f t="shared" ca="1" si="6"/>
        <v>47711</v>
      </c>
      <c r="R61" s="251" t="str">
        <f t="shared" ca="1" si="8"/>
        <v>August 2030</v>
      </c>
      <c r="S61" s="252">
        <f t="shared" si="10"/>
        <v>5478866.9601680869</v>
      </c>
      <c r="T61" s="254">
        <f t="shared" si="4"/>
        <v>1747630.4245704326</v>
      </c>
      <c r="U61" s="254">
        <f t="shared" si="5"/>
        <v>1627971.4649999957</v>
      </c>
      <c r="V61" s="252">
        <f t="shared" si="3"/>
        <v>1458000</v>
      </c>
      <c r="W61" s="252">
        <f t="shared" si="9"/>
        <v>7396468.8497385159</v>
      </c>
      <c r="X61" s="255"/>
      <c r="Y61" s="256"/>
      <c r="Z61" s="256"/>
      <c r="AA61" s="256"/>
    </row>
    <row r="62" spans="2:27" s="17" customFormat="1" ht="45" x14ac:dyDescent="0.35">
      <c r="B62" s="234" t="s">
        <v>105</v>
      </c>
      <c r="C62" s="118"/>
      <c r="D62" s="106">
        <f>SUM(I44:I47)</f>
        <v>1456000</v>
      </c>
      <c r="E62" s="118"/>
      <c r="F62" s="22"/>
      <c r="G62" s="195" t="s">
        <v>1</v>
      </c>
      <c r="H62" s="195" t="s">
        <v>114</v>
      </c>
      <c r="I62" s="196">
        <f>H5</f>
        <v>2596.6666666666665</v>
      </c>
      <c r="J62" s="18"/>
      <c r="K62" s="205"/>
      <c r="L62" s="212" t="s">
        <v>85</v>
      </c>
      <c r="M62" s="223">
        <v>824000</v>
      </c>
      <c r="N62" s="205"/>
      <c r="O62" s="18"/>
      <c r="P62" s="249">
        <v>56</v>
      </c>
      <c r="Q62" s="251">
        <f t="shared" ca="1" si="6"/>
        <v>47741</v>
      </c>
      <c r="R62" s="251" t="str">
        <f t="shared" ca="1" si="8"/>
        <v>September 2030</v>
      </c>
      <c r="S62" s="252">
        <f t="shared" si="10"/>
        <v>5524524.1848361539</v>
      </c>
      <c r="T62" s="254">
        <f t="shared" si="4"/>
        <v>1772194.0114418529</v>
      </c>
      <c r="U62" s="254">
        <f t="shared" si="5"/>
        <v>1643230.1958333289</v>
      </c>
      <c r="V62" s="252">
        <f t="shared" si="3"/>
        <v>1458000</v>
      </c>
      <c r="W62" s="252">
        <f t="shared" si="9"/>
        <v>7481948.3921113349</v>
      </c>
      <c r="X62" s="255"/>
      <c r="Y62" s="256"/>
      <c r="Z62" s="256"/>
      <c r="AA62" s="256"/>
    </row>
    <row r="63" spans="2:27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49">
        <v>57</v>
      </c>
      <c r="Q63" s="251">
        <f t="shared" ca="1" si="6"/>
        <v>47771</v>
      </c>
      <c r="R63" s="251" t="str">
        <f t="shared" ca="1" si="8"/>
        <v>October 2030</v>
      </c>
      <c r="S63" s="252">
        <f t="shared" si="10"/>
        <v>5570561.8863764554</v>
      </c>
      <c r="T63" s="254">
        <f t="shared" si="4"/>
        <v>1796962.2948705349</v>
      </c>
      <c r="U63" s="254">
        <f t="shared" si="5"/>
        <v>1658488.9266666621</v>
      </c>
      <c r="V63" s="252">
        <f t="shared" si="3"/>
        <v>1458000</v>
      </c>
      <c r="W63" s="252">
        <f t="shared" si="9"/>
        <v>7568013.1079136524</v>
      </c>
      <c r="X63" s="255"/>
      <c r="Y63" s="256"/>
      <c r="Z63" s="256"/>
      <c r="AA63" s="256"/>
    </row>
    <row r="64" spans="2:27" s="17" customFormat="1" ht="33" x14ac:dyDescent="0.35">
      <c r="B64" s="234" t="s">
        <v>100</v>
      </c>
      <c r="C64" s="118"/>
      <c r="D64" s="106">
        <f>SUM(E44:E47)</f>
        <v>3500000</v>
      </c>
      <c r="E64" s="118"/>
      <c r="F64" s="22"/>
      <c r="G64" s="117" t="s">
        <v>126</v>
      </c>
      <c r="H64" s="117" t="s">
        <v>114</v>
      </c>
      <c r="I64" s="192">
        <f>I28-H5</f>
        <v>8164.6025000000009</v>
      </c>
      <c r="J64" s="18"/>
      <c r="K64" s="205"/>
      <c r="L64" s="212" t="s">
        <v>83</v>
      </c>
      <c r="M64" s="223">
        <v>512000</v>
      </c>
      <c r="N64" s="205"/>
      <c r="O64" s="18"/>
      <c r="P64" s="249">
        <v>58</v>
      </c>
      <c r="Q64" s="251">
        <f t="shared" ca="1" si="6"/>
        <v>47801</v>
      </c>
      <c r="R64" s="251" t="str">
        <f t="shared" ca="1" si="8"/>
        <v>November 2030</v>
      </c>
      <c r="S64" s="252">
        <f t="shared" si="10"/>
        <v>5616983.2354295924</v>
      </c>
      <c r="T64" s="254">
        <f t="shared" si="4"/>
        <v>1821936.9806611226</v>
      </c>
      <c r="U64" s="254">
        <f t="shared" si="5"/>
        <v>1673747.6574999953</v>
      </c>
      <c r="V64" s="252">
        <f t="shared" si="3"/>
        <v>1458000</v>
      </c>
      <c r="W64" s="252">
        <f t="shared" si="9"/>
        <v>7654667.8735907096</v>
      </c>
      <c r="X64" s="255"/>
      <c r="Y64" s="256"/>
      <c r="Z64" s="256"/>
      <c r="AA64" s="256"/>
    </row>
    <row r="65" spans="2:27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120000</v>
      </c>
      <c r="N65" s="205"/>
      <c r="O65" s="18"/>
      <c r="P65" s="249">
        <v>59</v>
      </c>
      <c r="Q65" s="251">
        <f t="shared" ca="1" si="6"/>
        <v>47831</v>
      </c>
      <c r="R65" s="251" t="str">
        <f t="shared" ca="1" si="8"/>
        <v>December 2030</v>
      </c>
      <c r="S65" s="252">
        <f t="shared" si="10"/>
        <v>5663791.4290581718</v>
      </c>
      <c r="T65" s="254">
        <f t="shared" si="4"/>
        <v>1847119.7888332985</v>
      </c>
      <c r="U65" s="254">
        <f t="shared" si="5"/>
        <v>1689006.3883333285</v>
      </c>
      <c r="V65" s="252">
        <f t="shared" si="3"/>
        <v>1458000</v>
      </c>
      <c r="W65" s="252">
        <f t="shared" si="9"/>
        <v>7741917.6062247995</v>
      </c>
      <c r="X65" s="255"/>
      <c r="Y65" s="256"/>
      <c r="Z65" s="256"/>
      <c r="AA65" s="256"/>
    </row>
    <row r="66" spans="2:27" ht="33" x14ac:dyDescent="0.35">
      <c r="B66" s="234" t="s">
        <v>101</v>
      </c>
      <c r="C66" s="118"/>
      <c r="D66" s="237">
        <f>SUM(D44:D47)</f>
        <v>2044000</v>
      </c>
      <c r="E66" s="118"/>
      <c r="G66" s="117" t="s">
        <v>125</v>
      </c>
      <c r="H66" s="117"/>
      <c r="I66" s="192">
        <f>I64*12/0.09</f>
        <v>1088613.6666666667</v>
      </c>
      <c r="K66" s="205"/>
      <c r="L66" s="212" t="s">
        <v>123</v>
      </c>
      <c r="M66" s="223"/>
      <c r="N66" s="205"/>
      <c r="P66" s="249">
        <v>60</v>
      </c>
      <c r="Q66" s="251">
        <f ca="1">Q65+30</f>
        <v>47861</v>
      </c>
      <c r="R66" s="251" t="str">
        <f t="shared" ca="1" si="8"/>
        <v>January 2031</v>
      </c>
      <c r="S66" s="252">
        <f t="shared" si="10"/>
        <v>5710989.6909669898</v>
      </c>
      <c r="T66" s="254">
        <f t="shared" si="4"/>
        <v>1872512.4537402426</v>
      </c>
      <c r="U66" s="254">
        <f t="shared" si="5"/>
        <v>1704265.1191666618</v>
      </c>
      <c r="V66" s="252">
        <f t="shared" si="3"/>
        <v>1458000</v>
      </c>
      <c r="W66" s="252">
        <f t="shared" si="9"/>
        <v>7829767.2638738938</v>
      </c>
      <c r="X66" s="255"/>
      <c r="Y66" s="255"/>
      <c r="Z66" s="255"/>
      <c r="AA66" s="255"/>
    </row>
    <row r="67" spans="2:27" ht="34" thickBot="1" x14ac:dyDescent="0.4">
      <c r="B67" s="238"/>
      <c r="C67" s="118"/>
      <c r="D67" s="237"/>
      <c r="E67" s="118"/>
      <c r="G67" s="113" t="s">
        <v>122</v>
      </c>
      <c r="H67" s="99"/>
      <c r="I67" s="190"/>
      <c r="K67" s="205"/>
      <c r="L67" s="221"/>
      <c r="M67" s="222"/>
      <c r="N67" s="205"/>
      <c r="Q67" s="251"/>
      <c r="R67" s="251"/>
      <c r="S67" s="252"/>
      <c r="T67" s="252"/>
      <c r="U67" s="252"/>
      <c r="V67" s="252"/>
      <c r="W67" s="255"/>
      <c r="X67" s="255"/>
      <c r="Y67" s="255"/>
      <c r="Z67" s="255"/>
      <c r="AA67" s="255"/>
    </row>
    <row r="68" spans="2:27" ht="25" x14ac:dyDescent="0.2">
      <c r="B68" s="234" t="s">
        <v>29</v>
      </c>
      <c r="C68" s="118"/>
      <c r="D68" s="239">
        <f>D62/D64</f>
        <v>0.41599999999999998</v>
      </c>
      <c r="E68" s="118"/>
      <c r="H68" s="99"/>
      <c r="I68" s="147"/>
      <c r="K68" s="205"/>
      <c r="L68" s="206"/>
      <c r="M68" s="205"/>
      <c r="N68" s="205"/>
    </row>
    <row r="69" spans="2:27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7" ht="33" x14ac:dyDescent="0.35">
      <c r="B70" s="234" t="s">
        <v>121</v>
      </c>
      <c r="C70" s="118"/>
      <c r="D70" s="237">
        <f>(80%-D68)*D64</f>
        <v>1344000.0000000002</v>
      </c>
      <c r="E70" s="118"/>
      <c r="G70" s="114"/>
      <c r="H70" s="99"/>
      <c r="I70" s="147"/>
      <c r="L70" s="119"/>
      <c r="M70" s="120"/>
    </row>
    <row r="71" spans="2:27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804000</v>
      </c>
      <c r="L71" s="247">
        <f>D56</f>
        <v>3529000</v>
      </c>
      <c r="M71" s="120"/>
    </row>
    <row r="72" spans="2:27" ht="29" customHeight="1" x14ac:dyDescent="0.35">
      <c r="B72" s="137"/>
      <c r="E72" s="99"/>
      <c r="G72" s="232" t="s">
        <v>163</v>
      </c>
      <c r="H72" s="232"/>
      <c r="I72" s="233">
        <f>SUM(E37:E39)</f>
        <v>683000</v>
      </c>
      <c r="L72" s="246">
        <f>L71*M72</f>
        <v>1411600</v>
      </c>
      <c r="M72" s="248">
        <v>0.4</v>
      </c>
    </row>
    <row r="73" spans="2:27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1487000</v>
      </c>
      <c r="L73" s="246">
        <f>L72+M73</f>
        <v>1961600</v>
      </c>
      <c r="M73" s="119">
        <v>550000</v>
      </c>
    </row>
    <row r="74" spans="2:27" ht="29" customHeight="1" x14ac:dyDescent="0.35">
      <c r="B74" s="125"/>
      <c r="E74" s="99"/>
      <c r="H74" s="99"/>
      <c r="I74" s="147"/>
      <c r="L74" s="246">
        <f>L73+M74</f>
        <v>2761600</v>
      </c>
      <c r="M74" s="119">
        <v>800000</v>
      </c>
      <c r="N74" s="119"/>
    </row>
    <row r="75" spans="2:27" ht="29" customHeight="1" x14ac:dyDescent="0.35">
      <c r="B75" s="138" t="s">
        <v>128</v>
      </c>
      <c r="C75" s="131"/>
      <c r="D75" s="102">
        <f>D78-D62</f>
        <v>623513.15401630336</v>
      </c>
      <c r="E75" s="131"/>
      <c r="G75" s="114" t="s">
        <v>127</v>
      </c>
      <c r="H75" s="99"/>
      <c r="I75" s="147"/>
      <c r="L75" s="119"/>
      <c r="M75" s="119"/>
      <c r="N75" s="119"/>
    </row>
    <row r="76" spans="2:27" ht="29" customHeight="1" x14ac:dyDescent="0.35">
      <c r="B76" s="137" t="s">
        <v>112</v>
      </c>
      <c r="E76" s="99"/>
      <c r="G76" s="22"/>
      <c r="H76" s="99"/>
      <c r="I76" s="147"/>
      <c r="L76" s="247">
        <f>D56</f>
        <v>3529000</v>
      </c>
      <c r="M76" s="120"/>
      <c r="N76" s="119"/>
    </row>
    <row r="77" spans="2:27" ht="29" customHeight="1" x14ac:dyDescent="0.35">
      <c r="B77" s="137"/>
      <c r="E77" s="113"/>
      <c r="G77" s="601" t="s">
        <v>165</v>
      </c>
      <c r="H77" s="602"/>
      <c r="I77" s="194">
        <f>SUM(E34:E39)/(I28-H5)</f>
        <v>182.12766634995396</v>
      </c>
      <c r="L77" s="246">
        <f>L76*M77</f>
        <v>2117400</v>
      </c>
      <c r="M77" s="248">
        <v>0.6</v>
      </c>
      <c r="N77" s="119"/>
    </row>
    <row r="78" spans="2:27" ht="29" customHeight="1" x14ac:dyDescent="0.35">
      <c r="B78" s="138" t="s">
        <v>117</v>
      </c>
      <c r="C78" s="131"/>
      <c r="D78" s="102">
        <f>PV(8%/12,30*12,H22,0)*-1</f>
        <v>2079513.1540163034</v>
      </c>
      <c r="E78" s="131"/>
      <c r="G78" s="601" t="s">
        <v>166</v>
      </c>
      <c r="H78" s="602"/>
      <c r="I78" s="194">
        <f>SUM(E34:E39)/(I28-H5)/12</f>
        <v>15.17730552916283</v>
      </c>
      <c r="L78" s="246">
        <f>L77+M78</f>
        <v>2917400</v>
      </c>
      <c r="M78" s="119">
        <v>800000</v>
      </c>
    </row>
    <row r="79" spans="2:27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1.8688883914842556</v>
      </c>
      <c r="L79" s="246"/>
      <c r="M79" s="119"/>
    </row>
    <row r="80" spans="2:27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545A-D1C9-0C4A-B327-DB04D99FAE2F}">
  <dimension ref="B1:AF94"/>
  <sheetViews>
    <sheetView showGridLines="0" topLeftCell="A2" zoomScale="60" zoomScaleNormal="60" workbookViewId="0">
      <selection activeCell="M59" sqref="M59"/>
    </sheetView>
  </sheetViews>
  <sheetFormatPr baseColWidth="10" defaultColWidth="11" defaultRowHeight="16" x14ac:dyDescent="0.2"/>
  <cols>
    <col min="1" max="1" width="11" style="18"/>
    <col min="2" max="2" width="49" style="18" customWidth="1"/>
    <col min="3" max="3" width="27.6640625" style="18" customWidth="1"/>
    <col min="4" max="4" width="41.6640625" style="18" customWidth="1"/>
    <col min="5" max="5" width="34.1640625" style="17" customWidth="1"/>
    <col min="6" max="6" width="8.33203125" style="18" customWidth="1"/>
    <col min="7" max="7" width="47.83203125" style="18" customWidth="1"/>
    <col min="8" max="8" width="39.5" style="18" customWidth="1"/>
    <col min="9" max="9" width="29.5" style="17" customWidth="1"/>
    <col min="10" max="11" width="15.83203125" style="18" customWidth="1"/>
    <col min="12" max="12" width="110.33203125" style="17" bestFit="1" customWidth="1"/>
    <col min="13" max="13" width="34.6640625" style="18" customWidth="1"/>
    <col min="14" max="14" width="14.1640625" style="18" customWidth="1"/>
    <col min="15" max="15" width="25.1640625" style="18" customWidth="1"/>
    <col min="16" max="16" width="23.1640625" style="18" bestFit="1" customWidth="1"/>
    <col min="17" max="17" width="33.5" style="18" bestFit="1" customWidth="1"/>
    <col min="18" max="18" width="27" style="18" customWidth="1"/>
    <col min="19" max="19" width="67.5" style="18" bestFit="1" customWidth="1"/>
    <col min="20" max="21" width="27" style="18" bestFit="1" customWidth="1"/>
    <col min="22" max="22" width="35" style="18" bestFit="1" customWidth="1"/>
    <col min="23" max="16384" width="11" style="18"/>
  </cols>
  <sheetData>
    <row r="1" spans="2:32" ht="32" thickBot="1" x14ac:dyDescent="0.35">
      <c r="K1" s="205"/>
      <c r="L1" s="206"/>
      <c r="M1" s="205"/>
      <c r="N1" s="205"/>
      <c r="P1" s="251"/>
      <c r="Q1" s="29"/>
      <c r="R1" s="252"/>
      <c r="S1" s="258" t="s">
        <v>180</v>
      </c>
      <c r="T1" s="259">
        <v>0.1</v>
      </c>
      <c r="U1" s="252"/>
      <c r="V1" s="255"/>
      <c r="W1" s="255"/>
      <c r="X1" s="255"/>
      <c r="Y1" s="255"/>
      <c r="Z1" s="255"/>
    </row>
    <row r="2" spans="2:32" s="28" customFormat="1" ht="48" thickBot="1" x14ac:dyDescent="0.35">
      <c r="B2" s="612" t="s">
        <v>39</v>
      </c>
      <c r="C2" s="613"/>
      <c r="D2" s="613"/>
      <c r="E2" s="613"/>
      <c r="F2" s="613"/>
      <c r="G2" s="613"/>
      <c r="H2" s="613"/>
      <c r="I2" s="614"/>
      <c r="J2" s="110"/>
      <c r="K2" s="207"/>
      <c r="L2" s="599" t="s">
        <v>164</v>
      </c>
      <c r="M2" s="600"/>
      <c r="N2" s="208"/>
      <c r="P2" s="251"/>
      <c r="Q2" s="249"/>
      <c r="R2" s="252"/>
      <c r="S2" s="258" t="s">
        <v>179</v>
      </c>
      <c r="T2" s="259">
        <v>0.1</v>
      </c>
      <c r="V2" s="255"/>
      <c r="W2" s="255"/>
      <c r="X2" s="255"/>
      <c r="Y2" s="255"/>
      <c r="Z2" s="255"/>
    </row>
    <row r="3" spans="2:32" ht="38" thickBot="1" x14ac:dyDescent="0.4">
      <c r="B3" s="19"/>
      <c r="E3" s="22"/>
      <c r="I3" s="22"/>
      <c r="K3" s="205"/>
      <c r="L3" s="209"/>
      <c r="M3" s="209"/>
      <c r="N3" s="210"/>
      <c r="P3" s="251"/>
      <c r="Q3" s="29"/>
      <c r="R3" s="252"/>
      <c r="S3" s="258" t="s">
        <v>175</v>
      </c>
      <c r="T3" s="260">
        <v>5000</v>
      </c>
      <c r="U3" s="252"/>
      <c r="V3" s="255"/>
      <c r="W3" s="255"/>
      <c r="X3" s="255"/>
      <c r="Y3" s="255"/>
      <c r="Z3" s="255"/>
      <c r="AF3" s="257" t="s">
        <v>176</v>
      </c>
    </row>
    <row r="4" spans="2:32" ht="34" thickBot="1" x14ac:dyDescent="0.4">
      <c r="B4" s="30" t="s">
        <v>0</v>
      </c>
      <c r="C4" s="57" t="s">
        <v>55</v>
      </c>
      <c r="D4" s="57" t="s">
        <v>37</v>
      </c>
      <c r="E4" s="58" t="s">
        <v>38</v>
      </c>
      <c r="F4" s="54"/>
      <c r="G4" s="59" t="s">
        <v>64</v>
      </c>
      <c r="H4" s="57" t="s">
        <v>37</v>
      </c>
      <c r="I4" s="57" t="s">
        <v>55</v>
      </c>
      <c r="K4" s="205"/>
      <c r="L4" s="241" t="s">
        <v>0</v>
      </c>
      <c r="M4" s="242"/>
      <c r="N4" s="210"/>
      <c r="P4" s="251"/>
      <c r="Q4" s="29"/>
      <c r="R4" s="252"/>
      <c r="S4" s="252"/>
      <c r="T4" s="252"/>
      <c r="U4" s="252"/>
      <c r="V4" s="255"/>
      <c r="W4" s="255"/>
      <c r="X4" s="255"/>
      <c r="Y4" s="255"/>
      <c r="Z4" s="255"/>
    </row>
    <row r="5" spans="2:32" ht="34" thickBot="1" x14ac:dyDescent="0.4">
      <c r="B5" s="19"/>
      <c r="C5" s="29"/>
      <c r="D5" s="20"/>
      <c r="E5" s="21"/>
      <c r="F5" s="29"/>
      <c r="G5" s="65" t="s">
        <v>155</v>
      </c>
      <c r="H5" s="104">
        <f>SUM(E8:E15)</f>
        <v>4655</v>
      </c>
      <c r="I5" s="143">
        <f>H5*12</f>
        <v>55860</v>
      </c>
      <c r="K5" s="205"/>
      <c r="L5" s="212"/>
      <c r="M5" s="213"/>
      <c r="N5" s="210"/>
      <c r="P5" s="251"/>
      <c r="Q5" s="29"/>
      <c r="R5" s="252"/>
      <c r="S5" s="252"/>
      <c r="T5" s="252"/>
      <c r="U5" s="252"/>
      <c r="V5" s="255"/>
      <c r="W5" s="255"/>
      <c r="X5" s="255"/>
      <c r="Y5" s="255"/>
      <c r="Z5" s="255"/>
    </row>
    <row r="6" spans="2:32" ht="33" x14ac:dyDescent="0.35">
      <c r="B6" s="97" t="s">
        <v>40</v>
      </c>
      <c r="C6" s="164">
        <f>D6*12</f>
        <v>264000</v>
      </c>
      <c r="D6" s="165">
        <f>M6</f>
        <v>22000</v>
      </c>
      <c r="E6" s="166"/>
      <c r="F6" s="61"/>
      <c r="G6" s="39"/>
      <c r="H6" s="55"/>
      <c r="I6" s="56"/>
      <c r="K6" s="205"/>
      <c r="L6" s="212" t="s">
        <v>70</v>
      </c>
      <c r="M6" s="223">
        <v>22000</v>
      </c>
      <c r="N6" s="210"/>
      <c r="P6" s="253" t="s">
        <v>172</v>
      </c>
      <c r="Q6" s="250" t="s">
        <v>171</v>
      </c>
      <c r="R6" s="250" t="s">
        <v>173</v>
      </c>
      <c r="S6" s="250" t="s">
        <v>124</v>
      </c>
      <c r="T6" s="250" t="s">
        <v>178</v>
      </c>
      <c r="U6" s="250" t="s">
        <v>174</v>
      </c>
      <c r="V6" s="250" t="s">
        <v>177</v>
      </c>
      <c r="W6" s="255"/>
      <c r="X6" s="255"/>
      <c r="Y6" s="255"/>
      <c r="Z6" s="255"/>
    </row>
    <row r="7" spans="2:32" ht="33" x14ac:dyDescent="0.35">
      <c r="B7" s="97" t="s">
        <v>41</v>
      </c>
      <c r="C7" s="167">
        <f>D7*12</f>
        <v>60000</v>
      </c>
      <c r="D7" s="165">
        <f>M7</f>
        <v>5000</v>
      </c>
      <c r="E7" s="168"/>
      <c r="F7" s="54"/>
      <c r="G7" s="39"/>
      <c r="H7" s="44"/>
      <c r="I7" s="47"/>
      <c r="K7" s="205"/>
      <c r="L7" s="212" t="s">
        <v>71</v>
      </c>
      <c r="M7" s="213">
        <v>5000</v>
      </c>
      <c r="N7" s="210"/>
      <c r="P7" s="251">
        <f ca="1">TODAY()</f>
        <v>46091</v>
      </c>
      <c r="Q7" s="251" t="str">
        <f t="shared" ref="Q7:Q38" ca="1" si="0">TEXT($P7,"MMMM")&amp;TEXT($P7," YYYY")</f>
        <v>March 2026</v>
      </c>
      <c r="R7" s="252">
        <f>SUM(E44:E46)</f>
        <v>1400000</v>
      </c>
      <c r="S7" s="252">
        <f>SUM(E37:E39)</f>
        <v>477200</v>
      </c>
      <c r="T7" s="252">
        <f>$E$34</f>
        <v>820000</v>
      </c>
      <c r="U7" s="252">
        <f>$I$50</f>
        <v>254000</v>
      </c>
      <c r="V7" s="252">
        <f t="shared" ref="V7:V38" si="1">SUM(R7:T7)-U7</f>
        <v>2443200</v>
      </c>
      <c r="W7" s="255"/>
      <c r="X7" s="255"/>
      <c r="Y7" s="255"/>
      <c r="Z7" s="255"/>
    </row>
    <row r="8" spans="2:32" ht="33" x14ac:dyDescent="0.35">
      <c r="B8" s="97" t="s">
        <v>42</v>
      </c>
      <c r="C8" s="167"/>
      <c r="D8" s="165">
        <f>M8</f>
        <v>150</v>
      </c>
      <c r="E8" s="169">
        <f>D8</f>
        <v>150</v>
      </c>
      <c r="F8" s="54"/>
      <c r="G8" s="97"/>
      <c r="H8" s="44"/>
      <c r="I8" s="47"/>
      <c r="K8" s="205"/>
      <c r="L8" s="212" t="s">
        <v>72</v>
      </c>
      <c r="M8" s="223">
        <v>150</v>
      </c>
      <c r="N8" s="210"/>
      <c r="P8" s="251">
        <f ca="1">P7+30</f>
        <v>46121</v>
      </c>
      <c r="Q8" s="251" t="str">
        <f t="shared" ca="1" si="0"/>
        <v>April 2026</v>
      </c>
      <c r="R8" s="252">
        <f t="shared" ref="R8:R39" si="2">($T$1/12+1)*R7</f>
        <v>1411666.6666666665</v>
      </c>
      <c r="S8" s="254">
        <f>($T$2/12+1)*S7+$T$3</f>
        <v>486176.66666666663</v>
      </c>
      <c r="T8" s="254">
        <f>T7+$I$56</f>
        <v>844317.06416666671</v>
      </c>
      <c r="U8" s="252">
        <f t="shared" ref="U8:U66" si="3">$I$50</f>
        <v>254000</v>
      </c>
      <c r="V8" s="252">
        <f t="shared" si="1"/>
        <v>2488160.3975</v>
      </c>
      <c r="W8" s="255"/>
      <c r="X8" s="255"/>
      <c r="Y8" s="255"/>
      <c r="Z8" s="255"/>
    </row>
    <row r="9" spans="2:32" ht="33" x14ac:dyDescent="0.35">
      <c r="B9" s="97" t="s">
        <v>43</v>
      </c>
      <c r="C9" s="167"/>
      <c r="D9" s="165">
        <f>M9</f>
        <v>800</v>
      </c>
      <c r="E9" s="169">
        <f>D9</f>
        <v>800</v>
      </c>
      <c r="F9" s="54"/>
      <c r="G9" s="97"/>
      <c r="H9" s="44"/>
      <c r="I9" s="47"/>
      <c r="K9" s="205"/>
      <c r="L9" s="212" t="s">
        <v>73</v>
      </c>
      <c r="M9" s="223">
        <v>800</v>
      </c>
      <c r="N9" s="210"/>
      <c r="P9" s="251">
        <f ca="1">P8+30</f>
        <v>46151</v>
      </c>
      <c r="Q9" s="251" t="str">
        <f t="shared" ca="1" si="0"/>
        <v>May 2026</v>
      </c>
      <c r="R9" s="252">
        <f t="shared" si="2"/>
        <v>1423430.5555555553</v>
      </c>
      <c r="S9" s="254">
        <f t="shared" ref="S9:S66" si="4">($T$2/12+1)*S8+$T$3</f>
        <v>495228.13888888882</v>
      </c>
      <c r="T9" s="254">
        <f t="shared" ref="T9:T66" si="5">T8+$I$56</f>
        <v>868634.12833333341</v>
      </c>
      <c r="U9" s="252">
        <f t="shared" si="3"/>
        <v>254000</v>
      </c>
      <c r="V9" s="252">
        <f t="shared" si="1"/>
        <v>2533292.8227777774</v>
      </c>
      <c r="W9" s="255"/>
      <c r="X9" s="255"/>
      <c r="Y9" s="255"/>
      <c r="Z9" s="255"/>
    </row>
    <row r="10" spans="2:32" ht="33" x14ac:dyDescent="0.35">
      <c r="B10" s="97" t="s">
        <v>48</v>
      </c>
      <c r="C10" s="167"/>
      <c r="D10" s="165">
        <f>M10</f>
        <v>0</v>
      </c>
      <c r="E10" s="169"/>
      <c r="F10" s="54"/>
      <c r="G10" s="97"/>
      <c r="H10" s="44"/>
      <c r="I10" s="47"/>
      <c r="K10" s="205"/>
      <c r="L10" s="212" t="s">
        <v>74</v>
      </c>
      <c r="M10" s="223">
        <v>0</v>
      </c>
      <c r="N10" s="210"/>
      <c r="P10" s="251">
        <f t="shared" ref="P10:P65" ca="1" si="6">P9+30</f>
        <v>46181</v>
      </c>
      <c r="Q10" s="251" t="str">
        <f t="shared" ca="1" si="0"/>
        <v>June 2026</v>
      </c>
      <c r="R10" s="252">
        <f t="shared" si="2"/>
        <v>1435292.4768518514</v>
      </c>
      <c r="S10" s="254">
        <f t="shared" si="4"/>
        <v>504355.0400462962</v>
      </c>
      <c r="T10" s="254">
        <f t="shared" si="5"/>
        <v>892951.19250000012</v>
      </c>
      <c r="U10" s="252">
        <f t="shared" si="3"/>
        <v>254000</v>
      </c>
      <c r="V10" s="252">
        <f t="shared" si="1"/>
        <v>2578598.7093981477</v>
      </c>
      <c r="W10" s="255"/>
      <c r="X10" s="255"/>
      <c r="Y10" s="255"/>
      <c r="Z10" s="255"/>
    </row>
    <row r="11" spans="2:32" ht="33" x14ac:dyDescent="0.35">
      <c r="B11" s="97"/>
      <c r="C11" s="107"/>
      <c r="D11" s="108"/>
      <c r="E11" s="170"/>
      <c r="F11" s="46"/>
      <c r="G11" s="97"/>
      <c r="H11" s="44"/>
      <c r="I11" s="144"/>
      <c r="K11" s="205"/>
      <c r="L11" s="212"/>
      <c r="M11" s="213"/>
      <c r="N11" s="210"/>
      <c r="P11" s="251">
        <f t="shared" ca="1" si="6"/>
        <v>46211</v>
      </c>
      <c r="Q11" s="251" t="str">
        <f t="shared" ca="1" si="0"/>
        <v>July 2026</v>
      </c>
      <c r="R11" s="252">
        <f t="shared" si="2"/>
        <v>1447253.2474922836</v>
      </c>
      <c r="S11" s="254">
        <f t="shared" si="4"/>
        <v>513557.99871334864</v>
      </c>
      <c r="T11" s="254">
        <f t="shared" si="5"/>
        <v>917268.25666666683</v>
      </c>
      <c r="U11" s="252">
        <f t="shared" si="3"/>
        <v>254000</v>
      </c>
      <c r="V11" s="252">
        <f t="shared" si="1"/>
        <v>2624079.5028722989</v>
      </c>
      <c r="W11" s="255"/>
      <c r="X11" s="255"/>
      <c r="Y11" s="255"/>
      <c r="Z11" s="255"/>
    </row>
    <row r="12" spans="2:32" ht="33" x14ac:dyDescent="0.35">
      <c r="B12" s="161" t="s">
        <v>53</v>
      </c>
      <c r="C12" s="171"/>
      <c r="D12" s="172"/>
      <c r="E12" s="170"/>
      <c r="F12" s="46"/>
      <c r="G12" s="97"/>
      <c r="H12" s="44"/>
      <c r="I12" s="47"/>
      <c r="K12" s="205"/>
      <c r="L12" s="212"/>
      <c r="M12" s="213"/>
      <c r="N12" s="210"/>
      <c r="P12" s="251">
        <f t="shared" ca="1" si="6"/>
        <v>46241</v>
      </c>
      <c r="Q12" s="251" t="str">
        <f t="shared" ca="1" si="0"/>
        <v>August 2026</v>
      </c>
      <c r="R12" s="252">
        <f t="shared" si="2"/>
        <v>1459313.691221386</v>
      </c>
      <c r="S12" s="254">
        <f t="shared" si="4"/>
        <v>522837.64870262652</v>
      </c>
      <c r="T12" s="254">
        <f t="shared" si="5"/>
        <v>941585.32083333354</v>
      </c>
      <c r="U12" s="252">
        <f t="shared" si="3"/>
        <v>254000</v>
      </c>
      <c r="V12" s="252">
        <f t="shared" si="1"/>
        <v>2669736.6607573461</v>
      </c>
      <c r="W12" s="255"/>
      <c r="X12" s="255"/>
      <c r="Y12" s="255"/>
      <c r="Z12" s="255"/>
    </row>
    <row r="13" spans="2:32" ht="33" x14ac:dyDescent="0.35">
      <c r="B13" s="97"/>
      <c r="C13" s="171"/>
      <c r="D13" s="172"/>
      <c r="E13" s="170"/>
      <c r="F13" s="46"/>
      <c r="G13" s="163" t="s">
        <v>129</v>
      </c>
      <c r="H13" s="40" t="s">
        <v>157</v>
      </c>
      <c r="I13" s="47"/>
      <c r="K13" s="205"/>
      <c r="L13" s="212"/>
      <c r="M13" s="213"/>
      <c r="N13" s="210"/>
      <c r="P13" s="251">
        <f t="shared" ca="1" si="6"/>
        <v>46271</v>
      </c>
      <c r="Q13" s="251" t="str">
        <f t="shared" ca="1" si="0"/>
        <v>September 2026</v>
      </c>
      <c r="R13" s="252">
        <f t="shared" si="2"/>
        <v>1471474.6386482308</v>
      </c>
      <c r="S13" s="254">
        <f t="shared" si="4"/>
        <v>532194.62910848169</v>
      </c>
      <c r="T13" s="254">
        <f t="shared" si="5"/>
        <v>965902.38500000024</v>
      </c>
      <c r="U13" s="252">
        <f t="shared" si="3"/>
        <v>254000</v>
      </c>
      <c r="V13" s="252">
        <f t="shared" si="1"/>
        <v>2715571.6527567129</v>
      </c>
      <c r="W13" s="255"/>
      <c r="X13" s="255"/>
      <c r="Y13" s="255"/>
      <c r="Z13" s="255"/>
    </row>
    <row r="14" spans="2:32" ht="33" x14ac:dyDescent="0.35">
      <c r="B14" s="97" t="str">
        <f>L14</f>
        <v>Rental income 1 (per week)</v>
      </c>
      <c r="C14" s="173">
        <f>D14*12</f>
        <v>32240</v>
      </c>
      <c r="D14" s="165">
        <f>M14*52/12</f>
        <v>2686.6666666666665</v>
      </c>
      <c r="E14" s="174">
        <f>D14-D21</f>
        <v>1581.6666666666665</v>
      </c>
      <c r="F14" s="41"/>
      <c r="G14" s="97" t="s">
        <v>68</v>
      </c>
      <c r="H14" s="145">
        <f>C14/E45</f>
        <v>8.4842105263157899E-2</v>
      </c>
      <c r="I14" s="47"/>
      <c r="K14" s="205"/>
      <c r="L14" s="212" t="s">
        <v>75</v>
      </c>
      <c r="M14" s="223">
        <v>620</v>
      </c>
      <c r="N14" s="210"/>
      <c r="P14" s="251">
        <f t="shared" ca="1" si="6"/>
        <v>46301</v>
      </c>
      <c r="Q14" s="251" t="str">
        <f t="shared" ca="1" si="0"/>
        <v>October 2026</v>
      </c>
      <c r="R14" s="252">
        <f t="shared" si="2"/>
        <v>1483736.9273036327</v>
      </c>
      <c r="S14" s="254">
        <f t="shared" si="4"/>
        <v>541629.58435105241</v>
      </c>
      <c r="T14" s="254">
        <f t="shared" si="5"/>
        <v>990219.44916666695</v>
      </c>
      <c r="U14" s="252">
        <f t="shared" si="3"/>
        <v>254000</v>
      </c>
      <c r="V14" s="252">
        <f t="shared" si="1"/>
        <v>2761585.960821352</v>
      </c>
      <c r="W14" s="255"/>
      <c r="X14" s="255"/>
      <c r="Y14" s="255"/>
      <c r="Z14" s="255"/>
    </row>
    <row r="15" spans="2:32" ht="34" thickBot="1" x14ac:dyDescent="0.4">
      <c r="B15" s="97" t="str">
        <f>L15</f>
        <v>Rental income 2 (per week)</v>
      </c>
      <c r="C15" s="173">
        <f>D15*12</f>
        <v>28600</v>
      </c>
      <c r="D15" s="165">
        <f>M15*52/12</f>
        <v>2383.3333333333335</v>
      </c>
      <c r="E15" s="174">
        <f>D15-D22</f>
        <v>2123.3333333333335</v>
      </c>
      <c r="F15" s="41"/>
      <c r="G15" s="97" t="s">
        <v>69</v>
      </c>
      <c r="H15" s="145">
        <f>C15/E46</f>
        <v>0.11</v>
      </c>
      <c r="I15" s="47"/>
      <c r="K15" s="205"/>
      <c r="L15" s="214" t="s">
        <v>76</v>
      </c>
      <c r="M15" s="224">
        <v>550</v>
      </c>
      <c r="N15" s="210"/>
      <c r="P15" s="251">
        <f t="shared" ca="1" si="6"/>
        <v>46331</v>
      </c>
      <c r="Q15" s="251" t="str">
        <f t="shared" ca="1" si="0"/>
        <v>November 2026</v>
      </c>
      <c r="R15" s="252">
        <f t="shared" si="2"/>
        <v>1496101.4016978296</v>
      </c>
      <c r="S15" s="254">
        <f t="shared" si="4"/>
        <v>551143.16422064451</v>
      </c>
      <c r="T15" s="254">
        <f t="shared" si="5"/>
        <v>1014536.5133333337</v>
      </c>
      <c r="U15" s="252">
        <f t="shared" si="3"/>
        <v>254000</v>
      </c>
      <c r="V15" s="252">
        <f t="shared" si="1"/>
        <v>2807781.0792518076</v>
      </c>
      <c r="W15" s="255"/>
      <c r="X15" s="255"/>
      <c r="Y15" s="255"/>
      <c r="Z15" s="255"/>
    </row>
    <row r="16" spans="2:32" ht="34" thickBot="1" x14ac:dyDescent="0.4">
      <c r="B16" s="45"/>
      <c r="C16" s="43"/>
      <c r="D16" s="44"/>
      <c r="E16" s="42"/>
      <c r="F16" s="41"/>
      <c r="G16" s="19"/>
      <c r="H16" s="22"/>
      <c r="I16" s="23"/>
      <c r="K16" s="205"/>
      <c r="L16" s="215"/>
      <c r="M16" s="216"/>
      <c r="N16" s="210"/>
      <c r="P16" s="251">
        <f t="shared" ca="1" si="6"/>
        <v>46361</v>
      </c>
      <c r="Q16" s="251" t="str">
        <f t="shared" ca="1" si="0"/>
        <v>December 2026</v>
      </c>
      <c r="R16" s="252">
        <f t="shared" si="2"/>
        <v>1508568.9133786447</v>
      </c>
      <c r="S16" s="254">
        <f t="shared" si="4"/>
        <v>560736.0239224832</v>
      </c>
      <c r="T16" s="254">
        <f t="shared" si="5"/>
        <v>1038853.5775000004</v>
      </c>
      <c r="U16" s="252">
        <f t="shared" si="3"/>
        <v>254000</v>
      </c>
      <c r="V16" s="252">
        <f t="shared" si="1"/>
        <v>2854158.5148011283</v>
      </c>
      <c r="W16" s="255"/>
      <c r="X16" s="255"/>
      <c r="Y16" s="255"/>
      <c r="Z16" s="255"/>
    </row>
    <row r="17" spans="2:26" ht="34" thickBot="1" x14ac:dyDescent="0.4">
      <c r="B17" s="35"/>
      <c r="C17" s="36"/>
      <c r="D17" s="37"/>
      <c r="E17" s="66"/>
      <c r="F17" s="62"/>
      <c r="G17" s="152" t="s">
        <v>56</v>
      </c>
      <c r="H17" s="153" t="s">
        <v>57</v>
      </c>
      <c r="I17" s="244">
        <f>SUM(D6:D15)</f>
        <v>33020</v>
      </c>
      <c r="K17" s="205"/>
      <c r="L17" s="215"/>
      <c r="M17" s="216"/>
      <c r="N17" s="210"/>
      <c r="P17" s="251">
        <f t="shared" ca="1" si="6"/>
        <v>46391</v>
      </c>
      <c r="Q17" s="251" t="str">
        <f t="shared" ca="1" si="0"/>
        <v>January 2027</v>
      </c>
      <c r="R17" s="252">
        <f t="shared" si="2"/>
        <v>1521140.3209901333</v>
      </c>
      <c r="S17" s="254">
        <f t="shared" si="4"/>
        <v>570408.82412183727</v>
      </c>
      <c r="T17" s="254">
        <f t="shared" si="5"/>
        <v>1063170.6416666671</v>
      </c>
      <c r="U17" s="252">
        <f t="shared" si="3"/>
        <v>254000</v>
      </c>
      <c r="V17" s="252">
        <f t="shared" si="1"/>
        <v>2900719.7867786377</v>
      </c>
      <c r="W17" s="255"/>
      <c r="X17" s="255"/>
      <c r="Y17" s="255"/>
      <c r="Z17" s="255"/>
    </row>
    <row r="18" spans="2:26" ht="33" x14ac:dyDescent="0.35">
      <c r="B18" s="31" t="s">
        <v>5</v>
      </c>
      <c r="C18" s="60" t="s">
        <v>55</v>
      </c>
      <c r="D18" s="60" t="s">
        <v>37</v>
      </c>
      <c r="E18" s="60"/>
      <c r="F18" s="121"/>
      <c r="G18" s="154"/>
      <c r="H18" s="155"/>
      <c r="I18" s="156"/>
      <c r="K18" s="205"/>
      <c r="L18" s="241" t="s">
        <v>5</v>
      </c>
      <c r="M18" s="243"/>
      <c r="N18" s="210"/>
      <c r="P18" s="251">
        <f t="shared" ca="1" si="6"/>
        <v>46421</v>
      </c>
      <c r="Q18" s="251" t="str">
        <f t="shared" ca="1" si="0"/>
        <v>February 2027</v>
      </c>
      <c r="R18" s="252">
        <f t="shared" si="2"/>
        <v>1533816.4903317178</v>
      </c>
      <c r="S18" s="254">
        <f t="shared" si="4"/>
        <v>580162.23098951927</v>
      </c>
      <c r="T18" s="254">
        <f t="shared" si="5"/>
        <v>1087487.7058333338</v>
      </c>
      <c r="U18" s="252">
        <f t="shared" si="3"/>
        <v>254000</v>
      </c>
      <c r="V18" s="252">
        <f t="shared" si="1"/>
        <v>2947466.4271545708</v>
      </c>
      <c r="W18" s="255"/>
      <c r="X18" s="255"/>
      <c r="Y18" s="255"/>
      <c r="Z18" s="255"/>
    </row>
    <row r="19" spans="2:26" ht="33" x14ac:dyDescent="0.35">
      <c r="B19" s="19"/>
      <c r="D19" s="22"/>
      <c r="E19" s="47"/>
      <c r="F19" s="43"/>
      <c r="G19" s="125"/>
      <c r="H19" s="22"/>
      <c r="I19" s="147"/>
      <c r="K19" s="205"/>
      <c r="L19" s="212"/>
      <c r="M19" s="213"/>
      <c r="N19" s="210"/>
      <c r="P19" s="251">
        <f t="shared" ca="1" si="6"/>
        <v>46451</v>
      </c>
      <c r="Q19" s="251" t="str">
        <f t="shared" ca="1" si="0"/>
        <v>March 2027</v>
      </c>
      <c r="R19" s="252">
        <f t="shared" si="2"/>
        <v>1546598.2944178153</v>
      </c>
      <c r="S19" s="254">
        <f t="shared" si="4"/>
        <v>589996.9162477653</v>
      </c>
      <c r="T19" s="254">
        <f t="shared" si="5"/>
        <v>1111804.7700000005</v>
      </c>
      <c r="U19" s="252">
        <f t="shared" si="3"/>
        <v>254000</v>
      </c>
      <c r="V19" s="252">
        <f t="shared" si="1"/>
        <v>2994399.9806655813</v>
      </c>
      <c r="W19" s="255"/>
      <c r="X19" s="255"/>
      <c r="Y19" s="255"/>
      <c r="Z19" s="255"/>
    </row>
    <row r="20" spans="2:26" ht="33" x14ac:dyDescent="0.35">
      <c r="B20" s="97" t="s">
        <v>36</v>
      </c>
      <c r="C20" s="175">
        <f t="shared" ref="C20:C23" si="7">D20*12</f>
        <v>0</v>
      </c>
      <c r="D20" s="176">
        <f>M20</f>
        <v>0</v>
      </c>
      <c r="E20" s="48"/>
      <c r="F20" s="121"/>
      <c r="G20" s="125"/>
      <c r="H20" s="22"/>
      <c r="I20" s="147"/>
      <c r="K20" s="205"/>
      <c r="L20" s="212" t="s">
        <v>118</v>
      </c>
      <c r="M20" s="223">
        <v>0</v>
      </c>
      <c r="N20" s="210"/>
      <c r="P20" s="251">
        <f t="shared" ca="1" si="6"/>
        <v>46481</v>
      </c>
      <c r="Q20" s="251" t="str">
        <f t="shared" ca="1" si="0"/>
        <v>April 2027</v>
      </c>
      <c r="R20" s="252">
        <f t="shared" si="2"/>
        <v>1559486.6135379637</v>
      </c>
      <c r="S20" s="254">
        <f t="shared" si="4"/>
        <v>599913.55721649667</v>
      </c>
      <c r="T20" s="254">
        <f t="shared" si="5"/>
        <v>1136121.8341666672</v>
      </c>
      <c r="U20" s="252">
        <f t="shared" si="3"/>
        <v>254000</v>
      </c>
      <c r="V20" s="252">
        <f t="shared" si="1"/>
        <v>3041522.004921128</v>
      </c>
      <c r="W20" s="255"/>
      <c r="X20" s="255"/>
      <c r="Y20" s="255"/>
      <c r="Z20" s="255"/>
    </row>
    <row r="21" spans="2:26" ht="34" thickBot="1" x14ac:dyDescent="0.4">
      <c r="B21" s="97" t="str">
        <f>L21</f>
        <v>Interest Forest Lake</v>
      </c>
      <c r="C21" s="175">
        <f t="shared" si="7"/>
        <v>13260</v>
      </c>
      <c r="D21" s="176">
        <f>M21*I45/12</f>
        <v>1105</v>
      </c>
      <c r="E21" s="48"/>
      <c r="F21" s="121"/>
      <c r="G21" s="125"/>
      <c r="H21" s="22"/>
      <c r="I21" s="147"/>
      <c r="K21" s="205"/>
      <c r="L21" s="212" t="s">
        <v>167</v>
      </c>
      <c r="M21" s="225">
        <v>6.5000000000000002E-2</v>
      </c>
      <c r="N21" s="210"/>
      <c r="P21" s="251">
        <f t="shared" ca="1" si="6"/>
        <v>46511</v>
      </c>
      <c r="Q21" s="251" t="str">
        <f t="shared" ca="1" si="0"/>
        <v>May 2027</v>
      </c>
      <c r="R21" s="252">
        <f t="shared" si="2"/>
        <v>1572482.3353174466</v>
      </c>
      <c r="S21" s="254">
        <f t="shared" si="4"/>
        <v>609912.83685996744</v>
      </c>
      <c r="T21" s="254">
        <f t="shared" si="5"/>
        <v>1160438.8983333339</v>
      </c>
      <c r="U21" s="252">
        <f t="shared" si="3"/>
        <v>254000</v>
      </c>
      <c r="V21" s="252">
        <f t="shared" si="1"/>
        <v>3088834.0705107478</v>
      </c>
      <c r="W21" s="255"/>
      <c r="X21" s="255"/>
      <c r="Y21" s="255"/>
      <c r="Z21" s="255"/>
    </row>
    <row r="22" spans="2:26" ht="34" thickBot="1" x14ac:dyDescent="0.4">
      <c r="B22" s="97" t="str">
        <f>L22</f>
        <v>Interest Strathpine</v>
      </c>
      <c r="C22" s="175">
        <f t="shared" si="7"/>
        <v>3120</v>
      </c>
      <c r="D22" s="176">
        <f>M22*I46/12</f>
        <v>260</v>
      </c>
      <c r="E22" s="49"/>
      <c r="F22" s="122"/>
      <c r="G22" s="157" t="s">
        <v>86</v>
      </c>
      <c r="H22" s="104">
        <f>I17-I28</f>
        <v>24317.064166666667</v>
      </c>
      <c r="I22" s="147"/>
      <c r="K22" s="205"/>
      <c r="L22" s="212" t="s">
        <v>168</v>
      </c>
      <c r="M22" s="225">
        <v>6.5000000000000002E-2</v>
      </c>
      <c r="N22" s="210"/>
      <c r="P22" s="251">
        <f t="shared" ca="1" si="6"/>
        <v>46541</v>
      </c>
      <c r="Q22" s="251" t="str">
        <f t="shared" ca="1" si="0"/>
        <v>June 2027</v>
      </c>
      <c r="R22" s="252">
        <f t="shared" si="2"/>
        <v>1585586.3547784253</v>
      </c>
      <c r="S22" s="254">
        <f t="shared" si="4"/>
        <v>619995.4438338005</v>
      </c>
      <c r="T22" s="254">
        <f t="shared" si="5"/>
        <v>1184755.9625000006</v>
      </c>
      <c r="U22" s="252">
        <f t="shared" si="3"/>
        <v>254000</v>
      </c>
      <c r="V22" s="252">
        <f t="shared" si="1"/>
        <v>3136337.7611122262</v>
      </c>
      <c r="W22" s="255"/>
      <c r="X22" s="255"/>
      <c r="Y22" s="255"/>
      <c r="Z22" s="255"/>
    </row>
    <row r="23" spans="2:26" ht="33" x14ac:dyDescent="0.35">
      <c r="B23" s="97" t="s">
        <v>123</v>
      </c>
      <c r="C23" s="175">
        <f t="shared" si="7"/>
        <v>0</v>
      </c>
      <c r="D23" s="176">
        <f>M23*I47/12</f>
        <v>0</v>
      </c>
      <c r="E23" s="48"/>
      <c r="F23" s="121"/>
      <c r="G23" s="162" t="s">
        <v>97</v>
      </c>
      <c r="H23" s="105"/>
      <c r="I23" s="147"/>
      <c r="K23" s="205"/>
      <c r="L23" s="212" t="s">
        <v>120</v>
      </c>
      <c r="M23" s="225">
        <v>0</v>
      </c>
      <c r="N23" s="210"/>
      <c r="P23" s="251">
        <f t="shared" ca="1" si="6"/>
        <v>46571</v>
      </c>
      <c r="Q23" s="251" t="str">
        <f t="shared" ca="1" si="0"/>
        <v>July 2027</v>
      </c>
      <c r="R23" s="252">
        <f t="shared" si="2"/>
        <v>1598799.5744015789</v>
      </c>
      <c r="S23" s="254">
        <f t="shared" si="4"/>
        <v>630162.07253241551</v>
      </c>
      <c r="T23" s="254">
        <f t="shared" si="5"/>
        <v>1209073.0266666673</v>
      </c>
      <c r="U23" s="252">
        <f t="shared" si="3"/>
        <v>254000</v>
      </c>
      <c r="V23" s="252">
        <f t="shared" si="1"/>
        <v>3184034.6736006616</v>
      </c>
      <c r="W23" s="255"/>
      <c r="X23" s="255"/>
      <c r="Y23" s="255"/>
      <c r="Z23" s="255"/>
    </row>
    <row r="24" spans="2:26" ht="33" x14ac:dyDescent="0.35">
      <c r="B24" s="97"/>
      <c r="C24" s="107"/>
      <c r="D24" s="177"/>
      <c r="E24" s="48"/>
      <c r="F24" s="121"/>
      <c r="G24" s="125"/>
      <c r="H24" s="22"/>
      <c r="I24" s="147"/>
      <c r="K24" s="205"/>
      <c r="L24" s="212"/>
      <c r="M24" s="213"/>
      <c r="N24" s="210"/>
      <c r="P24" s="251">
        <f t="shared" ca="1" si="6"/>
        <v>46601</v>
      </c>
      <c r="Q24" s="251" t="str">
        <f t="shared" ca="1" si="0"/>
        <v>August 2027</v>
      </c>
      <c r="R24" s="252">
        <f t="shared" si="2"/>
        <v>1612122.9041882586</v>
      </c>
      <c r="S24" s="254">
        <f t="shared" si="4"/>
        <v>640413.42313685233</v>
      </c>
      <c r="T24" s="254">
        <f t="shared" si="5"/>
        <v>1233390.090833334</v>
      </c>
      <c r="U24" s="252">
        <f t="shared" si="3"/>
        <v>254000</v>
      </c>
      <c r="V24" s="252">
        <f t="shared" si="1"/>
        <v>3231926.4181584446</v>
      </c>
      <c r="W24" s="255"/>
      <c r="X24" s="255"/>
      <c r="Y24" s="255"/>
      <c r="Z24" s="255"/>
    </row>
    <row r="25" spans="2:26" ht="33" x14ac:dyDescent="0.35">
      <c r="B25" s="97" t="s">
        <v>98</v>
      </c>
      <c r="C25" s="175">
        <f>D25*12</f>
        <v>88055.23</v>
      </c>
      <c r="D25" s="178">
        <f>SUM(M30:M36)</f>
        <v>7337.935833333333</v>
      </c>
      <c r="E25" s="47"/>
      <c r="F25" s="43"/>
      <c r="G25" s="125"/>
      <c r="H25" s="22"/>
      <c r="I25" s="147"/>
      <c r="K25" s="205"/>
      <c r="L25" s="212"/>
      <c r="M25" s="213"/>
      <c r="N25" s="210"/>
      <c r="P25" s="251">
        <f t="shared" ca="1" si="6"/>
        <v>46631</v>
      </c>
      <c r="Q25" s="251" t="str">
        <f t="shared" ca="1" si="0"/>
        <v>September 2027</v>
      </c>
      <c r="R25" s="252">
        <f t="shared" si="2"/>
        <v>1625557.2617231607</v>
      </c>
      <c r="S25" s="254">
        <f t="shared" si="4"/>
        <v>650750.20166299271</v>
      </c>
      <c r="T25" s="254">
        <f t="shared" si="5"/>
        <v>1257707.1550000007</v>
      </c>
      <c r="U25" s="252">
        <f t="shared" si="3"/>
        <v>254000</v>
      </c>
      <c r="V25" s="252">
        <f t="shared" si="1"/>
        <v>3280014.6183861541</v>
      </c>
      <c r="W25" s="255"/>
      <c r="X25" s="255"/>
      <c r="Y25" s="255"/>
      <c r="Z25" s="255"/>
    </row>
    <row r="26" spans="2:26" ht="33" x14ac:dyDescent="0.35">
      <c r="B26" s="97" t="s">
        <v>92</v>
      </c>
      <c r="C26" s="175">
        <f>D26*12</f>
        <v>0</v>
      </c>
      <c r="D26" s="178">
        <f>'Monthly Expenses Budget'!C10</f>
        <v>0</v>
      </c>
      <c r="E26" s="47"/>
      <c r="F26" s="43"/>
      <c r="G26" s="125"/>
      <c r="H26" s="22"/>
      <c r="I26" s="147"/>
      <c r="K26" s="205"/>
      <c r="L26" s="212" t="s">
        <v>99</v>
      </c>
      <c r="M26" s="213"/>
      <c r="N26" s="210"/>
      <c r="P26" s="251">
        <f t="shared" ca="1" si="6"/>
        <v>46661</v>
      </c>
      <c r="Q26" s="251" t="str">
        <f t="shared" ca="1" si="0"/>
        <v>October 2027</v>
      </c>
      <c r="R26" s="252">
        <f t="shared" si="2"/>
        <v>1639103.5722375205</v>
      </c>
      <c r="S26" s="254">
        <f t="shared" si="4"/>
        <v>661173.12001018424</v>
      </c>
      <c r="T26" s="254">
        <f t="shared" si="5"/>
        <v>1282024.2191666674</v>
      </c>
      <c r="U26" s="252">
        <f t="shared" si="3"/>
        <v>254000</v>
      </c>
      <c r="V26" s="252">
        <f t="shared" si="1"/>
        <v>3328300.9114143718</v>
      </c>
      <c r="W26" s="255"/>
      <c r="X26" s="255"/>
      <c r="Y26" s="255"/>
      <c r="Z26" s="255"/>
    </row>
    <row r="27" spans="2:26" ht="34" thickBot="1" x14ac:dyDescent="0.4">
      <c r="B27" s="97" t="s">
        <v>27</v>
      </c>
      <c r="C27" s="175"/>
      <c r="D27" s="178">
        <f>M26</f>
        <v>0</v>
      </c>
      <c r="E27" s="47"/>
      <c r="F27" s="43"/>
      <c r="G27" s="125"/>
      <c r="H27" s="22"/>
      <c r="I27" s="147"/>
      <c r="K27" s="205"/>
      <c r="L27" s="212"/>
      <c r="M27" s="213"/>
      <c r="N27" s="210"/>
      <c r="P27" s="251">
        <f t="shared" ca="1" si="6"/>
        <v>46691</v>
      </c>
      <c r="Q27" s="251" t="str">
        <f t="shared" ca="1" si="0"/>
        <v>October 2027</v>
      </c>
      <c r="R27" s="252">
        <f t="shared" si="2"/>
        <v>1652762.768672833</v>
      </c>
      <c r="S27" s="254">
        <f t="shared" si="4"/>
        <v>671682.89601026906</v>
      </c>
      <c r="T27" s="254">
        <f t="shared" si="5"/>
        <v>1306341.2833333341</v>
      </c>
      <c r="U27" s="252">
        <f t="shared" si="3"/>
        <v>254000</v>
      </c>
      <c r="V27" s="252">
        <f t="shared" si="1"/>
        <v>3376786.9480164363</v>
      </c>
      <c r="W27" s="255"/>
      <c r="X27" s="255"/>
      <c r="Y27" s="255"/>
      <c r="Z27" s="255"/>
    </row>
    <row r="28" spans="2:26" ht="34" thickBot="1" x14ac:dyDescent="0.4">
      <c r="B28" s="24"/>
      <c r="C28" s="25"/>
      <c r="D28" s="38"/>
      <c r="E28" s="26"/>
      <c r="G28" s="158" t="s">
        <v>58</v>
      </c>
      <c r="H28" s="159" t="s">
        <v>57</v>
      </c>
      <c r="I28" s="245">
        <f>SUM(D20:D27)</f>
        <v>8702.935833333333</v>
      </c>
      <c r="K28" s="205"/>
      <c r="L28" s="211" t="s">
        <v>119</v>
      </c>
      <c r="M28" s="217"/>
      <c r="N28" s="205"/>
      <c r="P28" s="251">
        <f t="shared" ca="1" si="6"/>
        <v>46721</v>
      </c>
      <c r="Q28" s="251" t="str">
        <f t="shared" ca="1" si="0"/>
        <v>November 2027</v>
      </c>
      <c r="R28" s="252">
        <f t="shared" si="2"/>
        <v>1666535.7917451065</v>
      </c>
      <c r="S28" s="254">
        <f t="shared" si="4"/>
        <v>682280.25347702124</v>
      </c>
      <c r="T28" s="254">
        <f t="shared" si="5"/>
        <v>1330658.3475000008</v>
      </c>
      <c r="U28" s="252">
        <f t="shared" si="3"/>
        <v>254000</v>
      </c>
      <c r="V28" s="252">
        <f t="shared" si="1"/>
        <v>3425474.3927221289</v>
      </c>
      <c r="W28" s="255"/>
      <c r="X28" s="255"/>
      <c r="Y28" s="255"/>
      <c r="Z28" s="255"/>
    </row>
    <row r="29" spans="2:26" ht="34" thickBot="1" x14ac:dyDescent="0.4">
      <c r="E29" s="27"/>
      <c r="H29" s="33"/>
      <c r="I29" s="32"/>
      <c r="J29" s="34"/>
      <c r="K29" s="218"/>
      <c r="L29" s="212" t="str">
        <f>'Monthly Expenses Budget'!B5</f>
        <v>Home and other Fixed Expenses</v>
      </c>
      <c r="M29" s="223">
        <f>'Monthly Expenses Budget'!C5</f>
        <v>0</v>
      </c>
      <c r="N29" s="205"/>
      <c r="P29" s="251">
        <f t="shared" ca="1" si="6"/>
        <v>46751</v>
      </c>
      <c r="Q29" s="251" t="str">
        <f t="shared" ca="1" si="0"/>
        <v>December 2027</v>
      </c>
      <c r="R29" s="252">
        <f t="shared" si="2"/>
        <v>1680423.5900096491</v>
      </c>
      <c r="S29" s="254">
        <f t="shared" si="4"/>
        <v>692965.92225599638</v>
      </c>
      <c r="T29" s="254">
        <f t="shared" si="5"/>
        <v>1354975.4116666676</v>
      </c>
      <c r="U29" s="252">
        <f t="shared" si="3"/>
        <v>254000</v>
      </c>
      <c r="V29" s="252">
        <f t="shared" si="1"/>
        <v>3474364.923932313</v>
      </c>
      <c r="W29" s="255"/>
      <c r="X29" s="255"/>
      <c r="Y29" s="255"/>
      <c r="Z29" s="255"/>
    </row>
    <row r="30" spans="2:26" ht="34" thickBot="1" x14ac:dyDescent="0.4">
      <c r="B30" s="609" t="s">
        <v>7</v>
      </c>
      <c r="C30" s="610"/>
      <c r="D30" s="610"/>
      <c r="E30" s="610"/>
      <c r="F30" s="610"/>
      <c r="G30" s="610"/>
      <c r="H30" s="610"/>
      <c r="I30" s="611"/>
      <c r="J30" s="110"/>
      <c r="K30" s="207"/>
      <c r="L30" s="212" t="str">
        <f>'Monthly Expenses Budget'!B12</f>
        <v>Essentials</v>
      </c>
      <c r="M30" s="223">
        <f>'Monthly Expenses Budget'!C12</f>
        <v>875.73250000000007</v>
      </c>
      <c r="N30" s="210"/>
      <c r="P30" s="251">
        <f t="shared" ca="1" si="6"/>
        <v>46781</v>
      </c>
      <c r="Q30" s="251" t="str">
        <f t="shared" ca="1" si="0"/>
        <v>January 2028</v>
      </c>
      <c r="R30" s="252">
        <f t="shared" si="2"/>
        <v>1694427.1199263961</v>
      </c>
      <c r="S30" s="254">
        <f t="shared" si="4"/>
        <v>703740.63827479631</v>
      </c>
      <c r="T30" s="254">
        <f t="shared" si="5"/>
        <v>1379292.4758333343</v>
      </c>
      <c r="U30" s="252">
        <f t="shared" si="3"/>
        <v>254000</v>
      </c>
      <c r="V30" s="252">
        <f t="shared" si="1"/>
        <v>3523460.2340345262</v>
      </c>
      <c r="W30" s="255"/>
      <c r="X30" s="255"/>
      <c r="Y30" s="255"/>
      <c r="Z30" s="255"/>
    </row>
    <row r="31" spans="2:26" ht="34" thickBot="1" x14ac:dyDescent="0.4">
      <c r="B31" s="19"/>
      <c r="E31" s="22"/>
      <c r="I31" s="22"/>
      <c r="K31" s="205"/>
      <c r="L31" s="212" t="str">
        <f>'Monthly Expenses Budget'!B22</f>
        <v>Groceries</v>
      </c>
      <c r="M31" s="223">
        <f>'Monthly Expenses Budget'!C22</f>
        <v>2120</v>
      </c>
      <c r="N31" s="210"/>
      <c r="P31" s="251">
        <f t="shared" ca="1" si="6"/>
        <v>46811</v>
      </c>
      <c r="Q31" s="251" t="str">
        <f t="shared" ca="1" si="0"/>
        <v>February 2028</v>
      </c>
      <c r="R31" s="252">
        <f t="shared" si="2"/>
        <v>1708547.3459257826</v>
      </c>
      <c r="S31" s="254">
        <f t="shared" si="4"/>
        <v>714605.14359375287</v>
      </c>
      <c r="T31" s="254">
        <f t="shared" si="5"/>
        <v>1403609.540000001</v>
      </c>
      <c r="U31" s="252">
        <f t="shared" si="3"/>
        <v>254000</v>
      </c>
      <c r="V31" s="252">
        <f t="shared" si="1"/>
        <v>3572762.0295195365</v>
      </c>
      <c r="W31" s="255"/>
      <c r="X31" s="255"/>
      <c r="Y31" s="255"/>
      <c r="Z31" s="255"/>
    </row>
    <row r="32" spans="2:26" ht="34" thickBot="1" x14ac:dyDescent="0.4">
      <c r="B32" s="123" t="s">
        <v>49</v>
      </c>
      <c r="C32" s="124"/>
      <c r="D32" s="124"/>
      <c r="E32" s="146" t="s">
        <v>67</v>
      </c>
      <c r="G32" s="149" t="s">
        <v>50</v>
      </c>
      <c r="H32" s="150"/>
      <c r="I32" s="151"/>
      <c r="K32" s="205"/>
      <c r="L32" s="212" t="str">
        <f>'Monthly Expenses Budget'!B31</f>
        <v>House Maintenance</v>
      </c>
      <c r="M32" s="223">
        <f>'Monthly Expenses Budget'!C31</f>
        <v>230</v>
      </c>
      <c r="N32" s="210"/>
      <c r="P32" s="251">
        <f t="shared" ca="1" si="6"/>
        <v>46841</v>
      </c>
      <c r="Q32" s="251" t="str">
        <f t="shared" ca="1" si="0"/>
        <v>March 2028</v>
      </c>
      <c r="R32" s="252">
        <f t="shared" si="2"/>
        <v>1722785.240475164</v>
      </c>
      <c r="S32" s="254">
        <f t="shared" si="4"/>
        <v>725560.18645703408</v>
      </c>
      <c r="T32" s="254">
        <f t="shared" si="5"/>
        <v>1427926.6041666677</v>
      </c>
      <c r="U32" s="252">
        <f t="shared" si="3"/>
        <v>254000</v>
      </c>
      <c r="V32" s="252">
        <f t="shared" si="1"/>
        <v>3622272.0310988659</v>
      </c>
      <c r="W32" s="255"/>
      <c r="X32" s="255"/>
      <c r="Y32" s="255"/>
      <c r="Z32" s="255"/>
    </row>
    <row r="33" spans="2:26" ht="33" x14ac:dyDescent="0.35">
      <c r="B33" s="125"/>
      <c r="E33" s="147"/>
      <c r="G33" s="19"/>
      <c r="H33" s="22"/>
      <c r="I33" s="23"/>
      <c r="K33" s="205"/>
      <c r="L33" s="212" t="str">
        <f>'Monthly Expenses Budget'!B39</f>
        <v>Health</v>
      </c>
      <c r="M33" s="223">
        <f>'Monthly Expenses Budget'!C39</f>
        <v>1514.7033333333331</v>
      </c>
      <c r="N33" s="210"/>
      <c r="P33" s="251">
        <f t="shared" ca="1" si="6"/>
        <v>46871</v>
      </c>
      <c r="Q33" s="251" t="str">
        <f t="shared" ca="1" si="0"/>
        <v>April 2028</v>
      </c>
      <c r="R33" s="252">
        <f t="shared" si="2"/>
        <v>1737141.7841457904</v>
      </c>
      <c r="S33" s="254">
        <f t="shared" si="4"/>
        <v>736606.52134417603</v>
      </c>
      <c r="T33" s="254">
        <f t="shared" si="5"/>
        <v>1452243.6683333344</v>
      </c>
      <c r="U33" s="252">
        <f t="shared" si="3"/>
        <v>254000</v>
      </c>
      <c r="V33" s="252">
        <f t="shared" si="1"/>
        <v>3671991.973823301</v>
      </c>
      <c r="W33" s="255"/>
      <c r="X33" s="255"/>
      <c r="Y33" s="255"/>
      <c r="Z33" s="255"/>
    </row>
    <row r="34" spans="2:26" ht="33" x14ac:dyDescent="0.35">
      <c r="B34" s="160" t="s">
        <v>46</v>
      </c>
      <c r="C34" s="22"/>
      <c r="D34" s="107"/>
      <c r="E34" s="179">
        <f>M40</f>
        <v>820000</v>
      </c>
      <c r="G34" s="97" t="s">
        <v>44</v>
      </c>
      <c r="H34" s="22"/>
      <c r="I34" s="109">
        <v>10000</v>
      </c>
      <c r="K34" s="205"/>
      <c r="L34" s="212" t="str">
        <f>'Monthly Expenses Budget'!B49</f>
        <v>Discretionary</v>
      </c>
      <c r="M34" s="223">
        <f>'Monthly Expenses Budget'!C49</f>
        <v>1100</v>
      </c>
      <c r="N34" s="210"/>
      <c r="P34" s="251">
        <f t="shared" ca="1" si="6"/>
        <v>46901</v>
      </c>
      <c r="Q34" s="251" t="str">
        <f t="shared" ca="1" si="0"/>
        <v>May 2028</v>
      </c>
      <c r="R34" s="252">
        <f t="shared" si="2"/>
        <v>1751617.9656803387</v>
      </c>
      <c r="S34" s="254">
        <f t="shared" si="4"/>
        <v>747744.90902204416</v>
      </c>
      <c r="T34" s="254">
        <f t="shared" si="5"/>
        <v>1476560.7325000011</v>
      </c>
      <c r="U34" s="252">
        <f t="shared" si="3"/>
        <v>254000</v>
      </c>
      <c r="V34" s="252">
        <f t="shared" si="1"/>
        <v>3721923.6072023837</v>
      </c>
      <c r="W34" s="255"/>
      <c r="X34" s="255"/>
      <c r="Y34" s="255"/>
      <c r="Z34" s="255"/>
    </row>
    <row r="35" spans="2:26" s="28" customFormat="1" ht="33" x14ac:dyDescent="0.35">
      <c r="B35" s="160" t="s">
        <v>47</v>
      </c>
      <c r="C35" s="22"/>
      <c r="D35" s="107"/>
      <c r="E35" s="179">
        <f>M41</f>
        <v>0</v>
      </c>
      <c r="G35" s="97" t="s">
        <v>45</v>
      </c>
      <c r="H35" s="22"/>
      <c r="I35" s="109">
        <v>2000</v>
      </c>
      <c r="K35" s="208"/>
      <c r="L35" s="212" t="str">
        <f>'Monthly Expenses Budget'!B58</f>
        <v>Sports / Activities</v>
      </c>
      <c r="M35" s="223">
        <f>'Monthly Expenses Budget'!C58</f>
        <v>397.5</v>
      </c>
      <c r="N35" s="210"/>
      <c r="P35" s="251">
        <f t="shared" ca="1" si="6"/>
        <v>46931</v>
      </c>
      <c r="Q35" s="251" t="str">
        <f t="shared" ca="1" si="0"/>
        <v>June 2028</v>
      </c>
      <c r="R35" s="252">
        <f t="shared" si="2"/>
        <v>1766214.782061008</v>
      </c>
      <c r="S35" s="254">
        <f t="shared" si="4"/>
        <v>758976.11659722787</v>
      </c>
      <c r="T35" s="254">
        <f t="shared" si="5"/>
        <v>1500877.7966666678</v>
      </c>
      <c r="U35" s="252">
        <f t="shared" si="3"/>
        <v>254000</v>
      </c>
      <c r="V35" s="252">
        <f t="shared" si="1"/>
        <v>3772068.6953249038</v>
      </c>
      <c r="W35" s="255"/>
      <c r="X35" s="255"/>
      <c r="Y35" s="255"/>
      <c r="Z35" s="255"/>
    </row>
    <row r="36" spans="2:26" ht="34" thickBot="1" x14ac:dyDescent="0.4">
      <c r="B36" s="160"/>
      <c r="C36" s="22"/>
      <c r="D36" s="107"/>
      <c r="E36" s="180"/>
      <c r="G36" s="97" t="s">
        <v>62</v>
      </c>
      <c r="H36" s="22"/>
      <c r="I36" s="184"/>
      <c r="K36" s="205"/>
      <c r="L36" s="214" t="str">
        <f>'Monthly Expenses Budget'!B64</f>
        <v>Other</v>
      </c>
      <c r="M36" s="224">
        <f>'Monthly Expenses Budget'!C64</f>
        <v>1100</v>
      </c>
      <c r="N36" s="210"/>
      <c r="P36" s="251">
        <f t="shared" ca="1" si="6"/>
        <v>46961</v>
      </c>
      <c r="Q36" s="251" t="str">
        <f t="shared" ca="1" si="0"/>
        <v>July 2028</v>
      </c>
      <c r="R36" s="252">
        <f t="shared" si="2"/>
        <v>1780933.2385781831</v>
      </c>
      <c r="S36" s="254">
        <f t="shared" si="4"/>
        <v>770300.9175688714</v>
      </c>
      <c r="T36" s="254">
        <f t="shared" si="5"/>
        <v>1525194.8608333345</v>
      </c>
      <c r="U36" s="252">
        <f t="shared" si="3"/>
        <v>254000</v>
      </c>
      <c r="V36" s="252">
        <f t="shared" si="1"/>
        <v>3822429.0169803891</v>
      </c>
      <c r="W36" s="255"/>
      <c r="X36" s="255"/>
      <c r="Y36" s="255"/>
      <c r="Z36" s="255"/>
    </row>
    <row r="37" spans="2:26" ht="31" x14ac:dyDescent="0.3">
      <c r="B37" s="160" t="s">
        <v>51</v>
      </c>
      <c r="C37" s="22"/>
      <c r="D37" s="107"/>
      <c r="E37" s="179">
        <f>M43</f>
        <v>68400</v>
      </c>
      <c r="G37" s="97" t="s">
        <v>61</v>
      </c>
      <c r="H37" s="22"/>
      <c r="I37" s="184"/>
      <c r="K37" s="205"/>
      <c r="L37" s="206"/>
      <c r="M37" s="205"/>
      <c r="N37" s="210"/>
      <c r="P37" s="251">
        <f t="shared" ca="1" si="6"/>
        <v>46991</v>
      </c>
      <c r="Q37" s="251" t="str">
        <f t="shared" ca="1" si="0"/>
        <v>August 2028</v>
      </c>
      <c r="R37" s="252">
        <f t="shared" si="2"/>
        <v>1795774.3488996678</v>
      </c>
      <c r="S37" s="254">
        <f t="shared" si="4"/>
        <v>781720.09188194526</v>
      </c>
      <c r="T37" s="254">
        <f t="shared" si="5"/>
        <v>1549511.9250000012</v>
      </c>
      <c r="U37" s="252">
        <f t="shared" si="3"/>
        <v>254000</v>
      </c>
      <c r="V37" s="252">
        <f t="shared" si="1"/>
        <v>3873006.3657816141</v>
      </c>
      <c r="W37" s="255"/>
      <c r="X37" s="255"/>
      <c r="Y37" s="255"/>
      <c r="Z37" s="255"/>
    </row>
    <row r="38" spans="2:26" ht="29" customHeight="1" thickBot="1" x14ac:dyDescent="0.4">
      <c r="B38" s="160" t="s">
        <v>52</v>
      </c>
      <c r="C38" s="22"/>
      <c r="D38" s="107"/>
      <c r="E38" s="179">
        <f>M44</f>
        <v>58800</v>
      </c>
      <c r="G38" s="97"/>
      <c r="H38" s="22"/>
      <c r="I38" s="185"/>
      <c r="K38" s="205"/>
      <c r="L38" s="215"/>
      <c r="M38" s="216"/>
      <c r="N38" s="210"/>
      <c r="P38" s="251">
        <f t="shared" ca="1" si="6"/>
        <v>47021</v>
      </c>
      <c r="Q38" s="251" t="str">
        <f t="shared" ca="1" si="0"/>
        <v>September 2028</v>
      </c>
      <c r="R38" s="252">
        <f t="shared" si="2"/>
        <v>1810739.1351404984</v>
      </c>
      <c r="S38" s="254">
        <f t="shared" si="4"/>
        <v>793234.42598096142</v>
      </c>
      <c r="T38" s="254">
        <f t="shared" si="5"/>
        <v>1573828.9891666679</v>
      </c>
      <c r="U38" s="252">
        <f t="shared" si="3"/>
        <v>254000</v>
      </c>
      <c r="V38" s="252">
        <f t="shared" si="1"/>
        <v>3923802.5502881277</v>
      </c>
      <c r="W38" s="255"/>
      <c r="X38" s="255"/>
      <c r="Y38" s="255"/>
      <c r="Z38" s="255"/>
    </row>
    <row r="39" spans="2:26" ht="33" x14ac:dyDescent="0.35">
      <c r="B39" s="160" t="s">
        <v>54</v>
      </c>
      <c r="C39" s="22"/>
      <c r="D39" s="107"/>
      <c r="E39" s="179">
        <f>M45</f>
        <v>350000</v>
      </c>
      <c r="G39" s="97"/>
      <c r="H39" s="22"/>
      <c r="I39" s="185"/>
      <c r="K39" s="205"/>
      <c r="L39" s="241" t="s">
        <v>49</v>
      </c>
      <c r="M39" s="243"/>
      <c r="N39" s="210"/>
      <c r="P39" s="251">
        <f t="shared" ca="1" si="6"/>
        <v>47051</v>
      </c>
      <c r="Q39" s="251" t="str">
        <f t="shared" ref="Q39:Q66" ca="1" si="8">TEXT($P39,"MMMM")&amp;TEXT($P39," YYYY")</f>
        <v>October 2028</v>
      </c>
      <c r="R39" s="252">
        <f t="shared" si="2"/>
        <v>1825828.6279333357</v>
      </c>
      <c r="S39" s="254">
        <f t="shared" si="4"/>
        <v>804844.71286413609</v>
      </c>
      <c r="T39" s="254">
        <f t="shared" si="5"/>
        <v>1598146.0533333346</v>
      </c>
      <c r="U39" s="252">
        <f t="shared" si="3"/>
        <v>254000</v>
      </c>
      <c r="V39" s="252">
        <f t="shared" ref="V39:V66" si="9">SUM(R39:T39)-U39</f>
        <v>3974819.3941308064</v>
      </c>
      <c r="W39" s="255"/>
      <c r="X39" s="255"/>
      <c r="Y39" s="255"/>
      <c r="Z39" s="255"/>
    </row>
    <row r="40" spans="2:26" ht="33" x14ac:dyDescent="0.35">
      <c r="B40" s="160"/>
      <c r="C40" s="22"/>
      <c r="D40" s="107"/>
      <c r="E40" s="179"/>
      <c r="G40" s="97"/>
      <c r="H40" s="22"/>
      <c r="I40" s="185"/>
      <c r="K40" s="205"/>
      <c r="L40" s="212" t="s">
        <v>77</v>
      </c>
      <c r="M40" s="223">
        <v>820000</v>
      </c>
      <c r="N40" s="210"/>
      <c r="P40" s="251">
        <f t="shared" ca="1" si="6"/>
        <v>47081</v>
      </c>
      <c r="Q40" s="251" t="str">
        <f t="shared" ca="1" si="8"/>
        <v>November 2028</v>
      </c>
      <c r="R40" s="252">
        <f t="shared" ref="R40:R66" si="10">($T$1/12+1)*R39</f>
        <v>1841043.8664994468</v>
      </c>
      <c r="S40" s="254">
        <f t="shared" si="4"/>
        <v>816551.75213800382</v>
      </c>
      <c r="T40" s="254">
        <f t="shared" si="5"/>
        <v>1622463.1175000013</v>
      </c>
      <c r="U40" s="252">
        <f t="shared" si="3"/>
        <v>254000</v>
      </c>
      <c r="V40" s="252">
        <f t="shared" si="9"/>
        <v>4026058.7361374516</v>
      </c>
      <c r="W40" s="255"/>
      <c r="X40" s="255"/>
      <c r="Y40" s="255"/>
      <c r="Z40" s="255"/>
    </row>
    <row r="41" spans="2:26" ht="33" x14ac:dyDescent="0.35">
      <c r="B41" s="160" t="s">
        <v>65</v>
      </c>
      <c r="C41" s="22"/>
      <c r="D41" s="107"/>
      <c r="E41" s="179">
        <f>M47</f>
        <v>200000</v>
      </c>
      <c r="G41" s="97"/>
      <c r="H41" s="22"/>
      <c r="I41" s="185"/>
      <c r="K41" s="205"/>
      <c r="L41" s="212" t="s">
        <v>78</v>
      </c>
      <c r="M41" s="223"/>
      <c r="N41" s="210"/>
      <c r="P41" s="251">
        <f t="shared" ca="1" si="6"/>
        <v>47111</v>
      </c>
      <c r="Q41" s="251" t="str">
        <f t="shared" ca="1" si="8"/>
        <v>December 2028</v>
      </c>
      <c r="R41" s="252">
        <f t="shared" si="10"/>
        <v>1856385.8987202754</v>
      </c>
      <c r="S41" s="254">
        <f t="shared" si="4"/>
        <v>828356.35007248714</v>
      </c>
      <c r="T41" s="254">
        <f t="shared" si="5"/>
        <v>1646780.181666668</v>
      </c>
      <c r="U41" s="252">
        <f t="shared" si="3"/>
        <v>254000</v>
      </c>
      <c r="V41" s="252">
        <f t="shared" si="9"/>
        <v>4077522.4304594304</v>
      </c>
      <c r="W41" s="255"/>
      <c r="X41" s="255"/>
      <c r="Y41" s="255"/>
      <c r="Z41" s="255"/>
    </row>
    <row r="42" spans="2:26" ht="33" x14ac:dyDescent="0.35">
      <c r="B42" s="160" t="s">
        <v>66</v>
      </c>
      <c r="C42" s="22"/>
      <c r="D42" s="107"/>
      <c r="E42" s="179">
        <f>M48</f>
        <v>0</v>
      </c>
      <c r="G42" s="97"/>
      <c r="H42" s="22"/>
      <c r="I42" s="185"/>
      <c r="K42" s="205"/>
      <c r="L42" s="212"/>
      <c r="M42" s="213"/>
      <c r="N42" s="210"/>
      <c r="P42" s="251">
        <f t="shared" ca="1" si="6"/>
        <v>47141</v>
      </c>
      <c r="Q42" s="251" t="str">
        <f t="shared" ca="1" si="8"/>
        <v>January 2029</v>
      </c>
      <c r="R42" s="252">
        <f t="shared" si="10"/>
        <v>1871855.7812096109</v>
      </c>
      <c r="S42" s="254">
        <f t="shared" si="4"/>
        <v>840259.31965642446</v>
      </c>
      <c r="T42" s="254">
        <f t="shared" si="5"/>
        <v>1671097.2458333347</v>
      </c>
      <c r="U42" s="252">
        <f t="shared" si="3"/>
        <v>254000</v>
      </c>
      <c r="V42" s="252">
        <f t="shared" si="9"/>
        <v>4129212.3466993701</v>
      </c>
      <c r="W42" s="255"/>
      <c r="X42" s="255"/>
      <c r="Y42" s="255"/>
      <c r="Z42" s="255"/>
    </row>
    <row r="43" spans="2:26" ht="33" x14ac:dyDescent="0.35">
      <c r="B43" s="160"/>
      <c r="D43" s="181" t="s">
        <v>63</v>
      </c>
      <c r="E43" s="180"/>
      <c r="G43" s="97"/>
      <c r="H43" s="22"/>
      <c r="I43" s="185"/>
      <c r="K43" s="205"/>
      <c r="L43" s="212" t="s">
        <v>79</v>
      </c>
      <c r="M43" s="223">
        <v>68400</v>
      </c>
      <c r="N43" s="210"/>
      <c r="P43" s="251">
        <f t="shared" ca="1" si="6"/>
        <v>47171</v>
      </c>
      <c r="Q43" s="251" t="str">
        <f t="shared" ca="1" si="8"/>
        <v>February 2029</v>
      </c>
      <c r="R43" s="252">
        <f t="shared" si="10"/>
        <v>1887454.5793863577</v>
      </c>
      <c r="S43" s="254">
        <f t="shared" si="4"/>
        <v>852261.4806535613</v>
      </c>
      <c r="T43" s="254">
        <f t="shared" si="5"/>
        <v>1695414.3100000015</v>
      </c>
      <c r="U43" s="252">
        <f t="shared" si="3"/>
        <v>254000</v>
      </c>
      <c r="V43" s="252">
        <f t="shared" si="9"/>
        <v>4181130.3700399203</v>
      </c>
      <c r="W43" s="255"/>
      <c r="X43" s="255"/>
      <c r="Y43" s="255"/>
      <c r="Z43" s="255"/>
    </row>
    <row r="44" spans="2:26" ht="33" x14ac:dyDescent="0.35">
      <c r="B44" s="160" t="s">
        <v>2</v>
      </c>
      <c r="D44" s="182">
        <f>E44-I44</f>
        <v>760000</v>
      </c>
      <c r="E44" s="179">
        <f>M50</f>
        <v>760000</v>
      </c>
      <c r="G44" s="97" t="s">
        <v>6</v>
      </c>
      <c r="H44" s="22"/>
      <c r="I44" s="109">
        <f>M62</f>
        <v>0</v>
      </c>
      <c r="K44" s="205"/>
      <c r="L44" s="212" t="s">
        <v>80</v>
      </c>
      <c r="M44" s="223">
        <v>58800</v>
      </c>
      <c r="N44" s="210"/>
      <c r="P44" s="251">
        <f t="shared" ca="1" si="6"/>
        <v>47201</v>
      </c>
      <c r="Q44" s="251" t="str">
        <f t="shared" ca="1" si="8"/>
        <v>March 2029</v>
      </c>
      <c r="R44" s="252">
        <f t="shared" si="10"/>
        <v>1903183.3675479107</v>
      </c>
      <c r="S44" s="254">
        <f t="shared" si="4"/>
        <v>864363.65965900756</v>
      </c>
      <c r="T44" s="254">
        <f t="shared" si="5"/>
        <v>1719731.3741666682</v>
      </c>
      <c r="U44" s="252">
        <f t="shared" si="3"/>
        <v>254000</v>
      </c>
      <c r="V44" s="252">
        <f t="shared" si="9"/>
        <v>4233278.4013735866</v>
      </c>
      <c r="W44" s="255"/>
      <c r="X44" s="255"/>
      <c r="Y44" s="255"/>
      <c r="Z44" s="255"/>
    </row>
    <row r="45" spans="2:26" ht="33" x14ac:dyDescent="0.35">
      <c r="B45" s="160" t="str">
        <f>L51</f>
        <v>Investment 1 - Forest Lake value</v>
      </c>
      <c r="D45" s="182">
        <f>E45-I45</f>
        <v>176000</v>
      </c>
      <c r="E45" s="179">
        <f>M51</f>
        <v>380000</v>
      </c>
      <c r="G45" s="97" t="s">
        <v>3</v>
      </c>
      <c r="H45" s="22"/>
      <c r="I45" s="109">
        <f>M64</f>
        <v>204000</v>
      </c>
      <c r="K45" s="205"/>
      <c r="L45" s="212" t="s">
        <v>81</v>
      </c>
      <c r="M45" s="223">
        <v>350000</v>
      </c>
      <c r="N45" s="210"/>
      <c r="P45" s="251">
        <f t="shared" ca="1" si="6"/>
        <v>47231</v>
      </c>
      <c r="Q45" s="251" t="str">
        <f t="shared" ca="1" si="8"/>
        <v>April 2029</v>
      </c>
      <c r="R45" s="252">
        <f t="shared" si="10"/>
        <v>1919043.2289441433</v>
      </c>
      <c r="S45" s="254">
        <f t="shared" si="4"/>
        <v>876566.69015616598</v>
      </c>
      <c r="T45" s="254">
        <f t="shared" si="5"/>
        <v>1744048.4383333349</v>
      </c>
      <c r="U45" s="252">
        <f t="shared" si="3"/>
        <v>254000</v>
      </c>
      <c r="V45" s="252">
        <f t="shared" si="9"/>
        <v>4285658.3574336441</v>
      </c>
      <c r="W45" s="255"/>
      <c r="X45" s="255"/>
      <c r="Y45" s="255"/>
      <c r="Z45" s="255"/>
    </row>
    <row r="46" spans="2:26" ht="33" x14ac:dyDescent="0.35">
      <c r="B46" s="160" t="str">
        <f>L52</f>
        <v>Investment 2 - Strathpine value</v>
      </c>
      <c r="D46" s="182">
        <f>E46-I46</f>
        <v>212000</v>
      </c>
      <c r="E46" s="179">
        <f>M52</f>
        <v>260000</v>
      </c>
      <c r="G46" s="97" t="s">
        <v>4</v>
      </c>
      <c r="H46" s="22"/>
      <c r="I46" s="109">
        <f>M65</f>
        <v>48000</v>
      </c>
      <c r="K46" s="205"/>
      <c r="L46" s="212"/>
      <c r="M46" s="213"/>
      <c r="N46" s="210"/>
      <c r="P46" s="251">
        <f t="shared" ca="1" si="6"/>
        <v>47261</v>
      </c>
      <c r="Q46" s="251" t="str">
        <f t="shared" ca="1" si="8"/>
        <v>May 2029</v>
      </c>
      <c r="R46" s="252">
        <f t="shared" si="10"/>
        <v>1935035.255852011</v>
      </c>
      <c r="S46" s="254">
        <f t="shared" si="4"/>
        <v>888871.41257413395</v>
      </c>
      <c r="T46" s="254">
        <f t="shared" si="5"/>
        <v>1768365.5025000016</v>
      </c>
      <c r="U46" s="252">
        <f t="shared" si="3"/>
        <v>254000</v>
      </c>
      <c r="V46" s="252">
        <f t="shared" si="9"/>
        <v>4338272.1709261462</v>
      </c>
      <c r="W46" s="255"/>
      <c r="X46" s="255"/>
      <c r="Y46" s="255"/>
      <c r="Z46" s="255"/>
    </row>
    <row r="47" spans="2:26" ht="33" x14ac:dyDescent="0.35">
      <c r="B47" s="160" t="s">
        <v>123</v>
      </c>
      <c r="D47" s="182">
        <f>E47-I47</f>
        <v>0</v>
      </c>
      <c r="E47" s="179">
        <f>M53</f>
        <v>0</v>
      </c>
      <c r="G47" s="97" t="s">
        <v>123</v>
      </c>
      <c r="H47" s="22"/>
      <c r="I47" s="109">
        <f>M66</f>
        <v>0</v>
      </c>
      <c r="K47" s="205"/>
      <c r="L47" s="212" t="s">
        <v>65</v>
      </c>
      <c r="M47" s="223">
        <v>200000</v>
      </c>
      <c r="N47" s="210"/>
      <c r="P47" s="251">
        <f t="shared" ca="1" si="6"/>
        <v>47291</v>
      </c>
      <c r="Q47" s="251" t="str">
        <f t="shared" ca="1" si="8"/>
        <v>June 2029</v>
      </c>
      <c r="R47" s="252">
        <f t="shared" si="10"/>
        <v>1951160.5496507778</v>
      </c>
      <c r="S47" s="254">
        <f t="shared" si="4"/>
        <v>901278.67434558505</v>
      </c>
      <c r="T47" s="254">
        <f t="shared" si="5"/>
        <v>1792682.5666666683</v>
      </c>
      <c r="U47" s="252">
        <f t="shared" si="3"/>
        <v>254000</v>
      </c>
      <c r="V47" s="252">
        <f t="shared" si="9"/>
        <v>4391121.7906630309</v>
      </c>
      <c r="W47" s="255"/>
      <c r="X47" s="255"/>
      <c r="Y47" s="255"/>
      <c r="Z47" s="255"/>
    </row>
    <row r="48" spans="2:26" ht="33" x14ac:dyDescent="0.35">
      <c r="B48" s="127"/>
      <c r="C48" s="50"/>
      <c r="D48" s="107"/>
      <c r="E48" s="183"/>
      <c r="G48" s="97"/>
      <c r="H48" s="22"/>
      <c r="I48" s="23" t="s">
        <v>8</v>
      </c>
      <c r="K48" s="205"/>
      <c r="L48" s="212" t="s">
        <v>66</v>
      </c>
      <c r="M48" s="223"/>
      <c r="N48" s="219"/>
      <c r="P48" s="251">
        <f t="shared" ca="1" si="6"/>
        <v>47321</v>
      </c>
      <c r="Q48" s="251" t="str">
        <f t="shared" ca="1" si="8"/>
        <v>July 2029</v>
      </c>
      <c r="R48" s="252">
        <f t="shared" si="10"/>
        <v>1967420.2208978676</v>
      </c>
      <c r="S48" s="254">
        <f t="shared" si="4"/>
        <v>913789.32996513159</v>
      </c>
      <c r="T48" s="254">
        <f t="shared" si="5"/>
        <v>1816999.630833335</v>
      </c>
      <c r="U48" s="252">
        <f t="shared" si="3"/>
        <v>254000</v>
      </c>
      <c r="V48" s="252">
        <f t="shared" si="9"/>
        <v>4444209.1816963339</v>
      </c>
      <c r="W48" s="255"/>
      <c r="X48" s="255"/>
      <c r="Y48" s="255"/>
      <c r="Z48" s="255"/>
    </row>
    <row r="49" spans="2:26" ht="34" thickBot="1" x14ac:dyDescent="0.4">
      <c r="B49" s="128" t="s">
        <v>156</v>
      </c>
      <c r="C49" s="108"/>
      <c r="D49" s="107"/>
      <c r="E49" s="148">
        <f>SUM(E34:E48)</f>
        <v>2897200</v>
      </c>
      <c r="G49" s="63"/>
      <c r="H49" s="38"/>
      <c r="I49" s="53"/>
      <c r="K49" s="205"/>
      <c r="L49" s="212"/>
      <c r="M49" s="213"/>
      <c r="N49" s="210"/>
      <c r="P49" s="251">
        <f t="shared" ca="1" si="6"/>
        <v>47351</v>
      </c>
      <c r="Q49" s="251" t="str">
        <f t="shared" ca="1" si="8"/>
        <v>August 2029</v>
      </c>
      <c r="R49" s="252">
        <f t="shared" si="10"/>
        <v>1983815.3894053497</v>
      </c>
      <c r="S49" s="254">
        <f t="shared" si="4"/>
        <v>926404.24104817433</v>
      </c>
      <c r="T49" s="254">
        <f t="shared" si="5"/>
        <v>1841316.6950000017</v>
      </c>
      <c r="U49" s="252">
        <f t="shared" si="3"/>
        <v>254000</v>
      </c>
      <c r="V49" s="252">
        <f t="shared" si="9"/>
        <v>4497536.3254535254</v>
      </c>
      <c r="W49" s="255"/>
      <c r="X49" s="255"/>
      <c r="Y49" s="255"/>
      <c r="Z49" s="255"/>
    </row>
    <row r="50" spans="2:26" s="17" customFormat="1" ht="34" thickBot="1" x14ac:dyDescent="0.4">
      <c r="B50" s="186" t="s">
        <v>60</v>
      </c>
      <c r="C50" s="187"/>
      <c r="D50" s="187"/>
      <c r="E50" s="188">
        <f>SUM(E49-E42-E41)</f>
        <v>2697200</v>
      </c>
      <c r="G50" s="64" t="s">
        <v>59</v>
      </c>
      <c r="H50" s="51"/>
      <c r="I50" s="52">
        <f>SUM(I35:I49)</f>
        <v>254000</v>
      </c>
      <c r="K50" s="206"/>
      <c r="L50" s="212" t="s">
        <v>82</v>
      </c>
      <c r="M50" s="223">
        <v>760000</v>
      </c>
      <c r="N50" s="210"/>
      <c r="O50" s="18"/>
      <c r="P50" s="251">
        <f t="shared" ca="1" si="6"/>
        <v>47381</v>
      </c>
      <c r="Q50" s="251" t="str">
        <f t="shared" ca="1" si="8"/>
        <v>September 2029</v>
      </c>
      <c r="R50" s="252">
        <f t="shared" si="10"/>
        <v>2000347.184317061</v>
      </c>
      <c r="S50" s="254">
        <f t="shared" si="4"/>
        <v>939124.27639024239</v>
      </c>
      <c r="T50" s="254">
        <f t="shared" si="5"/>
        <v>1865633.7591666684</v>
      </c>
      <c r="U50" s="252">
        <f t="shared" si="3"/>
        <v>254000</v>
      </c>
      <c r="V50" s="252">
        <f t="shared" si="9"/>
        <v>4551105.2198739713</v>
      </c>
      <c r="W50" s="255"/>
      <c r="X50" s="256"/>
      <c r="Y50" s="256"/>
      <c r="Z50" s="256"/>
    </row>
    <row r="51" spans="2:26" s="17" customFormat="1" ht="34" thickBot="1" x14ac:dyDescent="0.4">
      <c r="K51" s="206"/>
      <c r="L51" s="212" t="s">
        <v>169</v>
      </c>
      <c r="M51" s="223">
        <v>380000</v>
      </c>
      <c r="N51" s="210"/>
      <c r="O51" s="18"/>
      <c r="P51" s="251">
        <f t="shared" ca="1" si="6"/>
        <v>47411</v>
      </c>
      <c r="Q51" s="251" t="str">
        <f t="shared" ca="1" si="8"/>
        <v>October 2029</v>
      </c>
      <c r="R51" s="252">
        <f t="shared" si="10"/>
        <v>2017016.7441863697</v>
      </c>
      <c r="S51" s="254">
        <f t="shared" si="4"/>
        <v>951950.31202682771</v>
      </c>
      <c r="T51" s="254">
        <f t="shared" si="5"/>
        <v>1889950.8233333351</v>
      </c>
      <c r="U51" s="252">
        <f t="shared" si="3"/>
        <v>254000</v>
      </c>
      <c r="V51" s="252">
        <f t="shared" si="9"/>
        <v>4604917.8795465324</v>
      </c>
      <c r="W51" s="255"/>
      <c r="X51" s="256"/>
      <c r="Y51" s="256"/>
      <c r="Z51" s="256"/>
    </row>
    <row r="52" spans="2:26" s="17" customFormat="1" ht="33" x14ac:dyDescent="0.35">
      <c r="B52" s="605" t="s">
        <v>104</v>
      </c>
      <c r="C52" s="606"/>
      <c r="D52" s="606"/>
      <c r="E52" s="606"/>
      <c r="F52" s="607"/>
      <c r="G52" s="607"/>
      <c r="H52" s="607"/>
      <c r="I52" s="608"/>
      <c r="J52" s="18"/>
      <c r="K52" s="205"/>
      <c r="L52" s="212" t="s">
        <v>170</v>
      </c>
      <c r="M52" s="223">
        <v>260000</v>
      </c>
      <c r="N52" s="210"/>
      <c r="O52" s="18"/>
      <c r="P52" s="251">
        <f t="shared" ca="1" si="6"/>
        <v>47441</v>
      </c>
      <c r="Q52" s="251" t="str">
        <f t="shared" ca="1" si="8"/>
        <v>November 2029</v>
      </c>
      <c r="R52" s="252">
        <f t="shared" si="10"/>
        <v>2033825.2170545894</v>
      </c>
      <c r="S52" s="254">
        <f t="shared" si="4"/>
        <v>964883.23129371786</v>
      </c>
      <c r="T52" s="254">
        <f t="shared" si="5"/>
        <v>1914267.8875000018</v>
      </c>
      <c r="U52" s="252">
        <f t="shared" si="3"/>
        <v>254000</v>
      </c>
      <c r="V52" s="252">
        <f t="shared" si="9"/>
        <v>4658976.3358483091</v>
      </c>
      <c r="W52" s="255"/>
      <c r="X52" s="256"/>
      <c r="Y52" s="256"/>
      <c r="Z52" s="256"/>
    </row>
    <row r="53" spans="2:26" s="17" customFormat="1" ht="34" thickBot="1" x14ac:dyDescent="0.4">
      <c r="B53" s="132"/>
      <c r="C53" s="98"/>
      <c r="D53" s="98"/>
      <c r="E53" s="98"/>
      <c r="F53" s="98"/>
      <c r="G53" s="98"/>
      <c r="H53" s="98"/>
      <c r="I53" s="126"/>
      <c r="K53" s="206"/>
      <c r="L53" s="214" t="s">
        <v>123</v>
      </c>
      <c r="M53" s="224"/>
      <c r="N53" s="205"/>
      <c r="O53" s="18"/>
      <c r="P53" s="251">
        <f t="shared" ca="1" si="6"/>
        <v>47471</v>
      </c>
      <c r="Q53" s="251" t="str">
        <f t="shared" ca="1" si="8"/>
        <v>December 2029</v>
      </c>
      <c r="R53" s="252">
        <f t="shared" si="10"/>
        <v>2050773.7605300443</v>
      </c>
      <c r="S53" s="254">
        <f t="shared" si="4"/>
        <v>977923.92488783214</v>
      </c>
      <c r="T53" s="254">
        <f t="shared" si="5"/>
        <v>1938584.9516666685</v>
      </c>
      <c r="U53" s="252">
        <f t="shared" si="3"/>
        <v>254000</v>
      </c>
      <c r="V53" s="252">
        <f t="shared" si="9"/>
        <v>4713282.6370845456</v>
      </c>
      <c r="W53" s="255"/>
      <c r="X53" s="256"/>
      <c r="Y53" s="256"/>
      <c r="Z53" s="256"/>
    </row>
    <row r="54" spans="2:26" s="17" customFormat="1" ht="31" x14ac:dyDescent="0.3">
      <c r="B54" s="133" t="s">
        <v>102</v>
      </c>
      <c r="C54" s="99"/>
      <c r="D54" s="98"/>
      <c r="F54" s="114"/>
      <c r="G54" s="114" t="s">
        <v>103</v>
      </c>
      <c r="H54" s="99"/>
      <c r="I54" s="126"/>
      <c r="J54" s="18"/>
      <c r="K54" s="205"/>
      <c r="L54" s="206"/>
      <c r="M54" s="206"/>
      <c r="N54" s="205"/>
      <c r="O54" s="18"/>
      <c r="P54" s="251">
        <f t="shared" ca="1" si="6"/>
        <v>47501</v>
      </c>
      <c r="Q54" s="251" t="str">
        <f t="shared" ca="1" si="8"/>
        <v>January 2030</v>
      </c>
      <c r="R54" s="252">
        <f t="shared" si="10"/>
        <v>2067863.5418677947</v>
      </c>
      <c r="S54" s="254">
        <f t="shared" si="4"/>
        <v>991073.29092856403</v>
      </c>
      <c r="T54" s="254">
        <f t="shared" si="5"/>
        <v>1962902.0158333352</v>
      </c>
      <c r="U54" s="252">
        <f t="shared" si="3"/>
        <v>254000</v>
      </c>
      <c r="V54" s="252">
        <f t="shared" si="9"/>
        <v>4767838.8486296935</v>
      </c>
      <c r="W54" s="255"/>
      <c r="X54" s="256"/>
      <c r="Y54" s="256"/>
      <c r="Z54" s="256"/>
    </row>
    <row r="55" spans="2:26" s="17" customFormat="1" ht="32" thickBot="1" x14ac:dyDescent="0.35">
      <c r="B55" s="134"/>
      <c r="C55" s="22"/>
      <c r="D55" s="98"/>
      <c r="E55" s="100"/>
      <c r="F55" s="98"/>
      <c r="G55" s="98"/>
      <c r="H55" s="99"/>
      <c r="I55" s="126"/>
      <c r="J55" s="18"/>
      <c r="K55" s="205"/>
      <c r="L55" s="206"/>
      <c r="M55" s="206"/>
      <c r="N55" s="205"/>
      <c r="O55" s="18"/>
      <c r="P55" s="251">
        <f t="shared" ca="1" si="6"/>
        <v>47531</v>
      </c>
      <c r="Q55" s="251" t="str">
        <f t="shared" ca="1" si="8"/>
        <v>February 2030</v>
      </c>
      <c r="R55" s="252">
        <f t="shared" si="10"/>
        <v>2085095.7380500264</v>
      </c>
      <c r="S55" s="254">
        <f t="shared" si="4"/>
        <v>1004332.2350196354</v>
      </c>
      <c r="T55" s="254">
        <f t="shared" si="5"/>
        <v>1987219.0800000019</v>
      </c>
      <c r="U55" s="252">
        <f t="shared" si="3"/>
        <v>254000</v>
      </c>
      <c r="V55" s="252">
        <f t="shared" si="9"/>
        <v>4822647.0530696642</v>
      </c>
      <c r="W55" s="255"/>
      <c r="X55" s="256"/>
      <c r="Y55" s="256"/>
      <c r="Z55" s="256"/>
    </row>
    <row r="56" spans="2:26" s="17" customFormat="1" ht="46" thickBot="1" x14ac:dyDescent="0.5">
      <c r="B56" s="197" t="s">
        <v>160</v>
      </c>
      <c r="C56" s="198"/>
      <c r="D56" s="199">
        <f>E50-I50</f>
        <v>2443200</v>
      </c>
      <c r="E56" s="200"/>
      <c r="F56" s="201"/>
      <c r="G56" s="202" t="s">
        <v>158</v>
      </c>
      <c r="H56" s="203" t="s">
        <v>114</v>
      </c>
      <c r="I56" s="204">
        <f>I17-I28</f>
        <v>24317.064166666667</v>
      </c>
      <c r="J56" s="18"/>
      <c r="K56" s="205"/>
      <c r="L56" s="241" t="s">
        <v>87</v>
      </c>
      <c r="M56" s="243"/>
      <c r="N56" s="205"/>
      <c r="O56" s="18"/>
      <c r="P56" s="251">
        <f t="shared" ca="1" si="6"/>
        <v>47561</v>
      </c>
      <c r="Q56" s="251" t="str">
        <f t="shared" ca="1" si="8"/>
        <v>March 2030</v>
      </c>
      <c r="R56" s="252">
        <f t="shared" si="10"/>
        <v>2102471.5358671099</v>
      </c>
      <c r="S56" s="254">
        <f t="shared" si="4"/>
        <v>1017701.6703114656</v>
      </c>
      <c r="T56" s="254">
        <f t="shared" si="5"/>
        <v>2011536.1441666686</v>
      </c>
      <c r="U56" s="252">
        <f t="shared" si="3"/>
        <v>254000</v>
      </c>
      <c r="V56" s="252">
        <f t="shared" si="9"/>
        <v>4877709.3503452446</v>
      </c>
      <c r="W56" s="255"/>
      <c r="X56" s="256"/>
      <c r="Y56" s="256"/>
      <c r="Z56" s="256"/>
    </row>
    <row r="57" spans="2:26" ht="33" x14ac:dyDescent="0.35">
      <c r="B57" s="226"/>
      <c r="C57" s="227"/>
      <c r="D57" s="228"/>
      <c r="E57" s="227"/>
      <c r="G57" s="228"/>
      <c r="H57" s="229"/>
      <c r="I57" s="230"/>
      <c r="K57" s="205"/>
      <c r="L57" s="212" t="s">
        <v>44</v>
      </c>
      <c r="M57" s="223">
        <v>2000</v>
      </c>
      <c r="N57" s="205"/>
      <c r="P57" s="251">
        <f t="shared" ca="1" si="6"/>
        <v>47591</v>
      </c>
      <c r="Q57" s="251" t="str">
        <f t="shared" ca="1" si="8"/>
        <v>April 2030</v>
      </c>
      <c r="R57" s="252">
        <f t="shared" si="10"/>
        <v>2119992.1319993357</v>
      </c>
      <c r="S57" s="254">
        <f t="shared" si="4"/>
        <v>1031182.5175640611</v>
      </c>
      <c r="T57" s="254">
        <f t="shared" si="5"/>
        <v>2035853.2083333354</v>
      </c>
      <c r="U57" s="252">
        <f t="shared" si="3"/>
        <v>254000</v>
      </c>
      <c r="V57" s="252">
        <f t="shared" si="9"/>
        <v>4933027.8578967322</v>
      </c>
      <c r="W57" s="255"/>
      <c r="X57" s="255"/>
      <c r="Y57" s="255"/>
      <c r="Z57" s="255"/>
    </row>
    <row r="58" spans="2:26" ht="33" x14ac:dyDescent="0.35">
      <c r="B58" s="135" t="s">
        <v>159</v>
      </c>
      <c r="C58" s="130"/>
      <c r="D58" s="101">
        <f>E49-I50</f>
        <v>2643200</v>
      </c>
      <c r="E58" s="130"/>
      <c r="G58" s="115" t="s">
        <v>113</v>
      </c>
      <c r="H58" s="115" t="s">
        <v>115</v>
      </c>
      <c r="I58" s="189">
        <f>I56*12</f>
        <v>291804.77</v>
      </c>
      <c r="K58" s="205"/>
      <c r="L58" s="212" t="s">
        <v>45</v>
      </c>
      <c r="M58" s="223">
        <v>3000</v>
      </c>
      <c r="N58" s="205"/>
      <c r="P58" s="251">
        <f t="shared" ca="1" si="6"/>
        <v>47621</v>
      </c>
      <c r="Q58" s="251" t="str">
        <f t="shared" ca="1" si="8"/>
        <v>May 2030</v>
      </c>
      <c r="R58" s="252">
        <f t="shared" si="10"/>
        <v>2137658.7330993302</v>
      </c>
      <c r="S58" s="254">
        <f t="shared" si="4"/>
        <v>1044775.7052104282</v>
      </c>
      <c r="T58" s="254">
        <f t="shared" si="5"/>
        <v>2060170.2725000021</v>
      </c>
      <c r="U58" s="252">
        <f t="shared" si="3"/>
        <v>254000</v>
      </c>
      <c r="V58" s="252">
        <f t="shared" si="9"/>
        <v>4988604.7108097607</v>
      </c>
      <c r="W58" s="255"/>
      <c r="X58" s="255"/>
      <c r="Y58" s="255"/>
      <c r="Z58" s="255"/>
    </row>
    <row r="59" spans="2:26" s="17" customFormat="1" ht="33" x14ac:dyDescent="0.35">
      <c r="B59" s="136"/>
      <c r="C59" s="22"/>
      <c r="D59" s="99"/>
      <c r="E59" s="99"/>
      <c r="F59" s="22"/>
      <c r="G59" s="98"/>
      <c r="H59" s="99"/>
      <c r="I59" s="190"/>
      <c r="J59" s="18"/>
      <c r="K59" s="205"/>
      <c r="L59" s="212" t="s">
        <v>62</v>
      </c>
      <c r="M59" s="213"/>
      <c r="N59" s="205"/>
      <c r="O59" s="18"/>
      <c r="P59" s="251">
        <f t="shared" ca="1" si="6"/>
        <v>47651</v>
      </c>
      <c r="Q59" s="251" t="str">
        <f t="shared" ca="1" si="8"/>
        <v>June 2030</v>
      </c>
      <c r="R59" s="252">
        <f t="shared" si="10"/>
        <v>2155472.5558751579</v>
      </c>
      <c r="S59" s="254">
        <f t="shared" si="4"/>
        <v>1058482.1694205152</v>
      </c>
      <c r="T59" s="254">
        <f t="shared" si="5"/>
        <v>2084487.3366666688</v>
      </c>
      <c r="U59" s="252">
        <f t="shared" si="3"/>
        <v>254000</v>
      </c>
      <c r="V59" s="252">
        <f t="shared" si="9"/>
        <v>5044442.0619623419</v>
      </c>
      <c r="W59" s="255"/>
      <c r="X59" s="256"/>
      <c r="Y59" s="256"/>
      <c r="Z59" s="256"/>
    </row>
    <row r="60" spans="2:26" s="17" customFormat="1" ht="33" x14ac:dyDescent="0.35">
      <c r="B60" s="133" t="s">
        <v>106</v>
      </c>
      <c r="C60" s="22"/>
      <c r="D60" s="116"/>
      <c r="E60" s="99"/>
      <c r="F60" s="22"/>
      <c r="G60" s="114" t="s">
        <v>1</v>
      </c>
      <c r="H60" s="99"/>
      <c r="I60" s="191"/>
      <c r="J60" s="18"/>
      <c r="K60" s="205"/>
      <c r="L60" s="212" t="s">
        <v>61</v>
      </c>
      <c r="M60" s="213"/>
      <c r="N60" s="205"/>
      <c r="O60" s="18"/>
      <c r="P60" s="251">
        <f t="shared" ca="1" si="6"/>
        <v>47681</v>
      </c>
      <c r="Q60" s="251" t="str">
        <f t="shared" ca="1" si="8"/>
        <v>July 2030</v>
      </c>
      <c r="R60" s="252">
        <f t="shared" si="10"/>
        <v>2173434.8271741173</v>
      </c>
      <c r="S60" s="254">
        <f t="shared" si="4"/>
        <v>1072302.8541656861</v>
      </c>
      <c r="T60" s="254">
        <f t="shared" si="5"/>
        <v>2108804.4008333352</v>
      </c>
      <c r="U60" s="252">
        <f t="shared" si="3"/>
        <v>254000</v>
      </c>
      <c r="V60" s="252">
        <f t="shared" si="9"/>
        <v>5100542.0821731389</v>
      </c>
      <c r="W60" s="255"/>
      <c r="X60" s="256"/>
      <c r="Y60" s="256"/>
      <c r="Z60" s="256"/>
    </row>
    <row r="61" spans="2:26" s="17" customFormat="1" ht="34" customHeight="1" x14ac:dyDescent="0.35">
      <c r="B61" s="125"/>
      <c r="C61" s="22"/>
      <c r="D61" s="18"/>
      <c r="E61" s="99"/>
      <c r="F61" s="22"/>
      <c r="G61" s="18"/>
      <c r="H61" s="99"/>
      <c r="I61" s="190"/>
      <c r="J61" s="18"/>
      <c r="K61" s="205"/>
      <c r="L61" s="212"/>
      <c r="M61" s="213"/>
      <c r="N61" s="205"/>
      <c r="O61" s="18"/>
      <c r="P61" s="251">
        <f t="shared" ca="1" si="6"/>
        <v>47711</v>
      </c>
      <c r="Q61" s="251" t="str">
        <f t="shared" ca="1" si="8"/>
        <v>August 2030</v>
      </c>
      <c r="R61" s="252">
        <f t="shared" si="10"/>
        <v>2191546.784067235</v>
      </c>
      <c r="S61" s="254">
        <f t="shared" si="4"/>
        <v>1086238.7112837334</v>
      </c>
      <c r="T61" s="254">
        <f t="shared" si="5"/>
        <v>2133121.4650000017</v>
      </c>
      <c r="U61" s="252">
        <f t="shared" si="3"/>
        <v>254000</v>
      </c>
      <c r="V61" s="252">
        <f t="shared" si="9"/>
        <v>5156906.9603509698</v>
      </c>
      <c r="W61" s="255"/>
      <c r="X61" s="256"/>
      <c r="Y61" s="256"/>
      <c r="Z61" s="256"/>
    </row>
    <row r="62" spans="2:26" s="17" customFormat="1" ht="45" x14ac:dyDescent="0.35">
      <c r="B62" s="234" t="s">
        <v>105</v>
      </c>
      <c r="C62" s="118"/>
      <c r="D62" s="106">
        <f>SUM(I44:I47)</f>
        <v>252000</v>
      </c>
      <c r="E62" s="118"/>
      <c r="F62" s="22"/>
      <c r="G62" s="195" t="s">
        <v>1</v>
      </c>
      <c r="H62" s="195" t="s">
        <v>114</v>
      </c>
      <c r="I62" s="196">
        <f>H5</f>
        <v>4655</v>
      </c>
      <c r="J62" s="18"/>
      <c r="K62" s="205"/>
      <c r="L62" s="212" t="s">
        <v>85</v>
      </c>
      <c r="M62" s="223">
        <v>0</v>
      </c>
      <c r="N62" s="205"/>
      <c r="O62" s="18"/>
      <c r="P62" s="251">
        <f t="shared" ca="1" si="6"/>
        <v>47741</v>
      </c>
      <c r="Q62" s="251" t="str">
        <f t="shared" ca="1" si="8"/>
        <v>September 2030</v>
      </c>
      <c r="R62" s="252">
        <f t="shared" si="10"/>
        <v>2209809.673934462</v>
      </c>
      <c r="S62" s="254">
        <f t="shared" si="4"/>
        <v>1100290.7005444311</v>
      </c>
      <c r="T62" s="254">
        <f t="shared" si="5"/>
        <v>2157438.5291666682</v>
      </c>
      <c r="U62" s="252">
        <f t="shared" si="3"/>
        <v>254000</v>
      </c>
      <c r="V62" s="252">
        <f t="shared" si="9"/>
        <v>5213538.903645562</v>
      </c>
      <c r="W62" s="255"/>
      <c r="X62" s="256"/>
      <c r="Y62" s="256"/>
      <c r="Z62" s="256"/>
    </row>
    <row r="63" spans="2:26" s="17" customFormat="1" ht="33" x14ac:dyDescent="0.35">
      <c r="B63" s="235"/>
      <c r="C63" s="118"/>
      <c r="D63" s="236"/>
      <c r="E63" s="118"/>
      <c r="F63" s="22"/>
      <c r="G63" s="18"/>
      <c r="H63" s="229"/>
      <c r="I63" s="147"/>
      <c r="J63" s="18"/>
      <c r="K63" s="205"/>
      <c r="L63" s="220"/>
      <c r="M63" s="213"/>
      <c r="N63" s="205"/>
      <c r="O63" s="18"/>
      <c r="P63" s="251">
        <f t="shared" ca="1" si="6"/>
        <v>47771</v>
      </c>
      <c r="Q63" s="251" t="str">
        <f t="shared" ca="1" si="8"/>
        <v>October 2030</v>
      </c>
      <c r="R63" s="252">
        <f t="shared" si="10"/>
        <v>2228224.7545505823</v>
      </c>
      <c r="S63" s="254">
        <f t="shared" si="4"/>
        <v>1114459.7897156347</v>
      </c>
      <c r="T63" s="254">
        <f t="shared" si="5"/>
        <v>2181755.5933333347</v>
      </c>
      <c r="U63" s="252">
        <f t="shared" si="3"/>
        <v>254000</v>
      </c>
      <c r="V63" s="252">
        <f t="shared" si="9"/>
        <v>5270440.1375995521</v>
      </c>
      <c r="W63" s="255"/>
      <c r="X63" s="256"/>
      <c r="Y63" s="256"/>
      <c r="Z63" s="256"/>
    </row>
    <row r="64" spans="2:26" s="17" customFormat="1" ht="33" x14ac:dyDescent="0.35">
      <c r="B64" s="234" t="s">
        <v>100</v>
      </c>
      <c r="C64" s="118"/>
      <c r="D64" s="106">
        <f>SUM(E44:E47)</f>
        <v>1400000</v>
      </c>
      <c r="E64" s="118"/>
      <c r="F64" s="22"/>
      <c r="G64" s="117" t="s">
        <v>126</v>
      </c>
      <c r="H64" s="117" t="s">
        <v>114</v>
      </c>
      <c r="I64" s="192">
        <f>I28-H5</f>
        <v>4047.935833333333</v>
      </c>
      <c r="J64" s="18"/>
      <c r="K64" s="205"/>
      <c r="L64" s="212" t="s">
        <v>83</v>
      </c>
      <c r="M64" s="223">
        <v>204000</v>
      </c>
      <c r="N64" s="261">
        <f>M64*0.4</f>
        <v>81600</v>
      </c>
      <c r="O64" s="18"/>
      <c r="P64" s="251">
        <f t="shared" ca="1" si="6"/>
        <v>47801</v>
      </c>
      <c r="Q64" s="251" t="str">
        <f t="shared" ca="1" si="8"/>
        <v>November 2030</v>
      </c>
      <c r="R64" s="252">
        <f t="shared" si="10"/>
        <v>2246793.2941718372</v>
      </c>
      <c r="S64" s="254">
        <f t="shared" si="4"/>
        <v>1128746.9546299316</v>
      </c>
      <c r="T64" s="254">
        <f t="shared" si="5"/>
        <v>2206072.6575000011</v>
      </c>
      <c r="U64" s="252">
        <f t="shared" si="3"/>
        <v>254000</v>
      </c>
      <c r="V64" s="252">
        <f t="shared" si="9"/>
        <v>5327612.9063017704</v>
      </c>
      <c r="W64" s="255"/>
      <c r="X64" s="256"/>
      <c r="Y64" s="256"/>
      <c r="Z64" s="256"/>
    </row>
    <row r="65" spans="2:26" s="17" customFormat="1" ht="33" x14ac:dyDescent="0.35">
      <c r="B65" s="235"/>
      <c r="C65" s="118"/>
      <c r="D65" s="236"/>
      <c r="E65" s="118"/>
      <c r="F65" s="22"/>
      <c r="G65" s="229"/>
      <c r="H65" s="229"/>
      <c r="I65" s="231"/>
      <c r="J65" s="18"/>
      <c r="K65" s="205"/>
      <c r="L65" s="212" t="s">
        <v>84</v>
      </c>
      <c r="M65" s="223">
        <v>48000</v>
      </c>
      <c r="N65" s="261">
        <f>M65*0.4</f>
        <v>19200</v>
      </c>
      <c r="O65" s="18"/>
      <c r="P65" s="251">
        <f t="shared" ca="1" si="6"/>
        <v>47831</v>
      </c>
      <c r="Q65" s="251" t="str">
        <f t="shared" ca="1" si="8"/>
        <v>December 2030</v>
      </c>
      <c r="R65" s="252">
        <f t="shared" si="10"/>
        <v>2265516.571623269</v>
      </c>
      <c r="S65" s="254">
        <f t="shared" si="4"/>
        <v>1143153.1792518476</v>
      </c>
      <c r="T65" s="254">
        <f t="shared" si="5"/>
        <v>2230389.7216666676</v>
      </c>
      <c r="U65" s="252">
        <f t="shared" si="3"/>
        <v>254000</v>
      </c>
      <c r="V65" s="252">
        <f t="shared" si="9"/>
        <v>5385059.4725417839</v>
      </c>
      <c r="W65" s="255"/>
      <c r="X65" s="256"/>
      <c r="Y65" s="256"/>
      <c r="Z65" s="256"/>
    </row>
    <row r="66" spans="2:26" ht="33" x14ac:dyDescent="0.35">
      <c r="B66" s="234" t="s">
        <v>101</v>
      </c>
      <c r="C66" s="118"/>
      <c r="D66" s="237">
        <f>SUM(D44:D47)</f>
        <v>1148000</v>
      </c>
      <c r="E66" s="118"/>
      <c r="G66" s="117" t="s">
        <v>125</v>
      </c>
      <c r="H66" s="117"/>
      <c r="I66" s="192">
        <f>I64*12/0.09</f>
        <v>539724.77777777775</v>
      </c>
      <c r="K66" s="205"/>
      <c r="L66" s="212" t="s">
        <v>123</v>
      </c>
      <c r="M66" s="223"/>
      <c r="N66" s="205"/>
      <c r="P66" s="251">
        <f ca="1">P65+30</f>
        <v>47861</v>
      </c>
      <c r="Q66" s="251" t="str">
        <f t="shared" ca="1" si="8"/>
        <v>January 2031</v>
      </c>
      <c r="R66" s="252">
        <f t="shared" si="10"/>
        <v>2284395.8763867961</v>
      </c>
      <c r="S66" s="254">
        <f t="shared" si="4"/>
        <v>1157679.455745613</v>
      </c>
      <c r="T66" s="254">
        <f t="shared" si="5"/>
        <v>2254706.7858333341</v>
      </c>
      <c r="U66" s="252">
        <f t="shared" si="3"/>
        <v>254000</v>
      </c>
      <c r="V66" s="252">
        <f t="shared" si="9"/>
        <v>5442782.1179657429</v>
      </c>
      <c r="W66" s="255"/>
      <c r="X66" s="255"/>
      <c r="Y66" s="255"/>
      <c r="Z66" s="255"/>
    </row>
    <row r="67" spans="2:26" ht="34" thickBot="1" x14ac:dyDescent="0.4">
      <c r="B67" s="238"/>
      <c r="C67" s="118"/>
      <c r="D67" s="237"/>
      <c r="E67" s="118"/>
      <c r="G67" s="113" t="s">
        <v>122</v>
      </c>
      <c r="H67" s="99"/>
      <c r="I67" s="190"/>
      <c r="K67" s="205"/>
      <c r="L67" s="221"/>
      <c r="M67" s="222"/>
      <c r="N67" s="205"/>
      <c r="P67" s="251"/>
      <c r="Q67" s="251"/>
      <c r="R67" s="252"/>
      <c r="S67" s="252"/>
      <c r="T67" s="252"/>
      <c r="U67" s="252"/>
      <c r="V67" s="255"/>
      <c r="W67" s="255"/>
      <c r="X67" s="255"/>
      <c r="Y67" s="255"/>
      <c r="Z67" s="255"/>
    </row>
    <row r="68" spans="2:26" ht="25" x14ac:dyDescent="0.2">
      <c r="B68" s="234" t="s">
        <v>29</v>
      </c>
      <c r="C68" s="118"/>
      <c r="D68" s="239">
        <f>D62/D64</f>
        <v>0.18</v>
      </c>
      <c r="E68" s="118"/>
      <c r="H68" s="99"/>
      <c r="I68" s="147"/>
      <c r="K68" s="205"/>
      <c r="L68" s="206"/>
      <c r="M68" s="205"/>
      <c r="N68" s="205"/>
    </row>
    <row r="69" spans="2:26" ht="31" x14ac:dyDescent="0.2">
      <c r="B69" s="234"/>
      <c r="C69" s="118"/>
      <c r="D69" s="240"/>
      <c r="E69" s="118"/>
      <c r="G69" s="114" t="s">
        <v>116</v>
      </c>
      <c r="H69" s="99"/>
      <c r="I69" s="147"/>
    </row>
    <row r="70" spans="2:26" ht="33" x14ac:dyDescent="0.35">
      <c r="B70" s="234" t="s">
        <v>121</v>
      </c>
      <c r="C70" s="118"/>
      <c r="D70" s="237">
        <f>(80%-D68)*D64</f>
        <v>868000.00000000012</v>
      </c>
      <c r="E70" s="118"/>
      <c r="G70" s="114"/>
      <c r="H70" s="99"/>
      <c r="I70" s="147"/>
      <c r="L70" s="119"/>
      <c r="M70" s="120"/>
    </row>
    <row r="71" spans="2:26" ht="29" customHeight="1" x14ac:dyDescent="0.35">
      <c r="B71" s="234"/>
      <c r="C71" s="118"/>
      <c r="D71" s="240"/>
      <c r="E71" s="118"/>
      <c r="G71" s="603" t="s">
        <v>162</v>
      </c>
      <c r="H71" s="604"/>
      <c r="I71" s="233">
        <f>SUM(E34+E35+E47)</f>
        <v>820000</v>
      </c>
      <c r="L71" s="247">
        <f>D56</f>
        <v>2443200</v>
      </c>
      <c r="M71" s="120"/>
    </row>
    <row r="72" spans="2:26" ht="29" customHeight="1" x14ac:dyDescent="0.35">
      <c r="B72" s="137"/>
      <c r="E72" s="99"/>
      <c r="G72" s="232" t="s">
        <v>163</v>
      </c>
      <c r="H72" s="232"/>
      <c r="I72" s="233">
        <f>SUM(E37:E39)</f>
        <v>477200</v>
      </c>
      <c r="L72" s="246">
        <f>L71*M72</f>
        <v>977280</v>
      </c>
      <c r="M72" s="248">
        <v>0.4</v>
      </c>
    </row>
    <row r="73" spans="2:26" ht="29" customHeight="1" x14ac:dyDescent="0.35">
      <c r="B73" s="133" t="s">
        <v>111</v>
      </c>
      <c r="E73" s="99"/>
      <c r="G73" s="118" t="s">
        <v>154</v>
      </c>
      <c r="H73" s="118"/>
      <c r="I73" s="193">
        <f>SUM(I71:I72)</f>
        <v>1297200</v>
      </c>
      <c r="L73" s="246">
        <f>L72+M73</f>
        <v>1527280</v>
      </c>
      <c r="M73" s="119">
        <v>550000</v>
      </c>
    </row>
    <row r="74" spans="2:26" ht="29" customHeight="1" x14ac:dyDescent="0.35">
      <c r="B74" s="125"/>
      <c r="E74" s="99"/>
      <c r="H74" s="99"/>
      <c r="I74" s="147"/>
      <c r="L74" s="246">
        <f>L73+M74</f>
        <v>2327280</v>
      </c>
      <c r="M74" s="119">
        <v>800000</v>
      </c>
      <c r="N74" s="119"/>
    </row>
    <row r="75" spans="2:26" ht="29" customHeight="1" x14ac:dyDescent="0.35">
      <c r="B75" s="138" t="s">
        <v>128</v>
      </c>
      <c r="C75" s="131"/>
      <c r="D75" s="102">
        <f>D78-D62</f>
        <v>3062014.4717131178</v>
      </c>
      <c r="E75" s="131"/>
      <c r="G75" s="114" t="s">
        <v>127</v>
      </c>
      <c r="H75" s="99"/>
      <c r="I75" s="147"/>
      <c r="L75" s="119"/>
      <c r="M75" s="119"/>
      <c r="N75" s="119"/>
    </row>
    <row r="76" spans="2:26" ht="29" customHeight="1" x14ac:dyDescent="0.35">
      <c r="B76" s="137" t="s">
        <v>112</v>
      </c>
      <c r="E76" s="99"/>
      <c r="G76" s="22"/>
      <c r="H76" s="99"/>
      <c r="I76" s="147"/>
      <c r="L76" s="247">
        <f>D56</f>
        <v>2443200</v>
      </c>
      <c r="M76" s="120"/>
      <c r="N76" s="119"/>
    </row>
    <row r="77" spans="2:26" ht="29" customHeight="1" x14ac:dyDescent="0.35">
      <c r="B77" s="137"/>
      <c r="E77" s="113"/>
      <c r="G77" s="601" t="s">
        <v>165</v>
      </c>
      <c r="H77" s="602"/>
      <c r="I77" s="194">
        <f>SUM(E34:E39)/(I28-H5)</f>
        <v>320.45962520403918</v>
      </c>
      <c r="L77" s="246">
        <f>L76*M77</f>
        <v>1465920</v>
      </c>
      <c r="M77" s="248">
        <v>0.6</v>
      </c>
      <c r="N77" s="119"/>
    </row>
    <row r="78" spans="2:26" ht="29" customHeight="1" x14ac:dyDescent="0.35">
      <c r="B78" s="138" t="s">
        <v>117</v>
      </c>
      <c r="C78" s="131"/>
      <c r="D78" s="102">
        <f>PV(8%/12,30*12,H22,0)*-1</f>
        <v>3314014.4717131178</v>
      </c>
      <c r="E78" s="131"/>
      <c r="G78" s="601" t="s">
        <v>166</v>
      </c>
      <c r="H78" s="602"/>
      <c r="I78" s="194">
        <f>SUM(E34:E39)/(I28-H5)/12</f>
        <v>26.704968767003265</v>
      </c>
      <c r="L78" s="246">
        <f>L77+M78</f>
        <v>2265920</v>
      </c>
      <c r="M78" s="119">
        <v>800000</v>
      </c>
    </row>
    <row r="79" spans="2:26" ht="29" customHeight="1" x14ac:dyDescent="0.35">
      <c r="B79" s="137" t="s">
        <v>153</v>
      </c>
      <c r="D79" s="99"/>
      <c r="E79" s="113"/>
      <c r="G79" s="601" t="s">
        <v>161</v>
      </c>
      <c r="H79" s="602"/>
      <c r="I79" s="194">
        <f>H22/(I28-H5)</f>
        <v>6.0072751070864721</v>
      </c>
      <c r="L79" s="246"/>
      <c r="M79" s="119"/>
    </row>
    <row r="80" spans="2:26" ht="29" customHeight="1" thickBot="1" x14ac:dyDescent="0.25">
      <c r="B80" s="139"/>
      <c r="C80" s="140"/>
      <c r="D80" s="141"/>
      <c r="E80" s="142"/>
      <c r="F80" s="140"/>
      <c r="G80" s="140"/>
      <c r="H80" s="140"/>
      <c r="I80" s="129"/>
    </row>
    <row r="81" spans="4:8" ht="29" customHeight="1" x14ac:dyDescent="0.2">
      <c r="D81" s="99"/>
      <c r="E81" s="22"/>
    </row>
    <row r="82" spans="4:8" ht="43" customHeight="1" x14ac:dyDescent="0.2">
      <c r="D82" s="99"/>
      <c r="E82" s="98"/>
      <c r="F82" s="99"/>
      <c r="G82" s="99"/>
      <c r="H82" s="99"/>
    </row>
    <row r="83" spans="4:8" x14ac:dyDescent="0.2">
      <c r="D83" s="99"/>
      <c r="E83" s="98"/>
      <c r="F83" s="99"/>
      <c r="G83" s="99"/>
      <c r="H83" s="99"/>
    </row>
    <row r="84" spans="4:8" x14ac:dyDescent="0.2">
      <c r="D84" s="99"/>
      <c r="E84" s="98"/>
      <c r="F84" s="99"/>
      <c r="G84" s="99"/>
      <c r="H84" s="99"/>
    </row>
    <row r="85" spans="4:8" ht="40" customHeight="1" x14ac:dyDescent="0.2">
      <c r="D85" s="99"/>
      <c r="E85" s="98"/>
      <c r="F85" s="99"/>
      <c r="G85" s="99"/>
      <c r="H85" s="99"/>
    </row>
    <row r="86" spans="4:8" x14ac:dyDescent="0.2">
      <c r="F86" s="99"/>
      <c r="G86" s="99"/>
      <c r="H86" s="99"/>
    </row>
    <row r="87" spans="4:8" ht="40" customHeight="1" x14ac:dyDescent="0.2">
      <c r="D87" s="99"/>
      <c r="F87" s="99"/>
      <c r="G87" s="99"/>
      <c r="H87" s="99"/>
    </row>
    <row r="88" spans="4:8" ht="41" customHeight="1" x14ac:dyDescent="0.2">
      <c r="D88" s="99"/>
      <c r="F88" s="99"/>
      <c r="G88" s="99"/>
      <c r="H88" s="99"/>
    </row>
    <row r="89" spans="4:8" x14ac:dyDescent="0.2">
      <c r="D89" s="99"/>
      <c r="F89" s="99"/>
      <c r="G89" s="99"/>
      <c r="H89" s="99"/>
    </row>
    <row r="90" spans="4:8" x14ac:dyDescent="0.2">
      <c r="D90" s="99"/>
      <c r="F90" s="99"/>
      <c r="G90" s="99"/>
      <c r="H90" s="99"/>
    </row>
    <row r="91" spans="4:8" x14ac:dyDescent="0.2">
      <c r="D91" s="99"/>
    </row>
    <row r="92" spans="4:8" x14ac:dyDescent="0.2">
      <c r="D92" s="99"/>
    </row>
    <row r="93" spans="4:8" x14ac:dyDescent="0.2">
      <c r="E93" s="22"/>
    </row>
    <row r="94" spans="4:8" x14ac:dyDescent="0.2">
      <c r="E94" s="22"/>
    </row>
  </sheetData>
  <mergeCells count="8">
    <mergeCell ref="G78:H78"/>
    <mergeCell ref="G79:H79"/>
    <mergeCell ref="B2:I2"/>
    <mergeCell ref="L2:M2"/>
    <mergeCell ref="B30:I30"/>
    <mergeCell ref="B52:I52"/>
    <mergeCell ref="G71:H71"/>
    <mergeCell ref="G77:H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Monthly Expenses Budget</vt:lpstr>
      <vt:lpstr>Property Expenses</vt:lpstr>
      <vt:lpstr>FV_April25</vt:lpstr>
      <vt:lpstr>FV_May25</vt:lpstr>
      <vt:lpstr>FV_June25</vt:lpstr>
      <vt:lpstr>FV_July25 </vt:lpstr>
      <vt:lpstr>FV_August25</vt:lpstr>
      <vt:lpstr>FV_September25</vt:lpstr>
      <vt:lpstr>FV_October25</vt:lpstr>
      <vt:lpstr>FV_Nov25</vt:lpstr>
      <vt:lpstr>FV_Dec25</vt:lpstr>
      <vt:lpstr>FV_Jan26</vt:lpstr>
      <vt:lpstr>FV_Feb26</vt:lpstr>
      <vt:lpstr>FV_Mar26</vt:lpstr>
      <vt:lpstr>FV_PLANNING</vt:lpstr>
      <vt:lpstr>FV_PLANNING2</vt:lpstr>
      <vt:lpstr>FV_July25TEST</vt:lpstr>
      <vt:lpstr>FV_Play</vt:lpstr>
      <vt:lpstr>Copy1</vt:lpstr>
      <vt:lpstr>HouseView</vt:lpstr>
      <vt:lpstr>Newhouse</vt:lpstr>
      <vt:lpstr>PayAsh</vt:lpstr>
      <vt:lpstr>T</vt:lpstr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</dc:creator>
  <cp:lastModifiedBy>John W</cp:lastModifiedBy>
  <dcterms:created xsi:type="dcterms:W3CDTF">2023-10-07T06:51:43Z</dcterms:created>
  <dcterms:modified xsi:type="dcterms:W3CDTF">2026-03-09T14:48:54Z</dcterms:modified>
</cp:coreProperties>
</file>